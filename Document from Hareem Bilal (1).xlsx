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S\Documents\"/>
    </mc:Choice>
  </mc:AlternateContent>
  <xr:revisionPtr revIDLastSave="0" documentId="8_{F7E55915-0B3C-4CBB-A60B-800C5501E1E0}" xr6:coauthVersionLast="47" xr6:coauthVersionMax="47" xr10:uidLastSave="{00000000-0000-0000-0000-000000000000}"/>
  <bookViews>
    <workbookView xWindow="-98" yWindow="-98" windowWidth="19396" windowHeight="10546" activeTab="1" xr2:uid="{82E0D0E8-7F74-43D2-A772-642C947376AB}"/>
  </bookViews>
  <sheets>
    <sheet name="Sheet2" sheetId="10" r:id="rId1"/>
    <sheet name="Sheet1" sheetId="1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N20" i="1"/>
  <c r="N17" i="1"/>
  <c r="N16" i="1"/>
  <c r="N12" i="1"/>
  <c r="N11" i="1"/>
  <c r="N10" i="1"/>
  <c r="N9" i="1"/>
  <c r="H22" i="1" l="1"/>
  <c r="C22" i="1"/>
  <c r="F7" i="1"/>
  <c r="I7" i="1"/>
  <c r="J7" i="1"/>
  <c r="K7" i="1" s="1"/>
  <c r="N7" i="1"/>
  <c r="F8" i="1"/>
  <c r="I8" i="1"/>
  <c r="J8" i="1"/>
  <c r="K8" i="1" s="1"/>
  <c r="F9" i="1"/>
  <c r="I9" i="1"/>
  <c r="J9" i="1"/>
  <c r="K9" i="1" s="1"/>
  <c r="F10" i="1"/>
  <c r="I10" i="1"/>
  <c r="J10" i="1"/>
  <c r="K10" i="1" s="1"/>
  <c r="F11" i="1"/>
  <c r="J11" i="1"/>
  <c r="K11" i="1" s="1"/>
  <c r="F12" i="1"/>
  <c r="I12" i="1"/>
  <c r="J12" i="1"/>
  <c r="K12" i="1" s="1"/>
  <c r="F13" i="1"/>
  <c r="I13" i="1"/>
  <c r="J13" i="1"/>
  <c r="K13" i="1" s="1"/>
  <c r="F14" i="1"/>
  <c r="I14" i="1"/>
  <c r="J14" i="1"/>
  <c r="K14" i="1" s="1"/>
  <c r="F15" i="1"/>
  <c r="I15" i="1"/>
  <c r="J15" i="1"/>
  <c r="K15" i="1" s="1"/>
  <c r="F16" i="1"/>
  <c r="I16" i="1"/>
  <c r="J16" i="1"/>
  <c r="K16" i="1" s="1"/>
  <c r="F17" i="1"/>
  <c r="I17" i="1"/>
  <c r="J17" i="1"/>
  <c r="K17" i="1" s="1"/>
  <c r="F18" i="1"/>
  <c r="I18" i="1"/>
  <c r="J18" i="1"/>
  <c r="K18" i="1" s="1"/>
  <c r="F19" i="1"/>
  <c r="I19" i="1"/>
  <c r="J19" i="1"/>
  <c r="K19" i="1" s="1"/>
  <c r="F20" i="1"/>
  <c r="I20" i="1"/>
  <c r="J20" i="1"/>
  <c r="K20" i="1" s="1"/>
  <c r="F21" i="1"/>
  <c r="I21" i="1"/>
  <c r="J21" i="1"/>
  <c r="K21" i="1" s="1"/>
  <c r="D22" i="1"/>
  <c r="E22" i="1"/>
  <c r="G22" i="1"/>
  <c r="L21" i="1" l="1"/>
  <c r="L18" i="1"/>
  <c r="L17" i="1"/>
  <c r="L14" i="1"/>
  <c r="L13" i="1"/>
  <c r="L12" i="1"/>
  <c r="L10" i="1"/>
  <c r="N13" i="1"/>
  <c r="L19" i="1"/>
  <c r="L15" i="1"/>
  <c r="L11" i="1"/>
  <c r="L9" i="1"/>
  <c r="L20" i="1"/>
  <c r="L16" i="1"/>
  <c r="N15" i="1"/>
  <c r="K22" i="1"/>
  <c r="L8" i="1"/>
  <c r="J22" i="1"/>
  <c r="I22" i="1"/>
  <c r="N19" i="1" s="1"/>
  <c r="F22" i="1"/>
  <c r="N14" i="1"/>
  <c r="N23" i="1"/>
  <c r="L7" i="1"/>
  <c r="N8" i="1"/>
  <c r="N18" i="1"/>
  <c r="L23" i="1" l="1"/>
  <c r="L22" i="1"/>
  <c r="N22" i="1"/>
</calcChain>
</file>

<file path=xl/sharedStrings.xml><?xml version="1.0" encoding="utf-8"?>
<sst xmlns="http://schemas.openxmlformats.org/spreadsheetml/2006/main" count="92" uniqueCount="51">
  <si>
    <t>S.NO</t>
  </si>
  <si>
    <t xml:space="preserve">ITEMS </t>
  </si>
  <si>
    <t>PURCHASE</t>
  </si>
  <si>
    <t xml:space="preserve">DATE </t>
  </si>
  <si>
    <t xml:space="preserve">AMOUNT </t>
  </si>
  <si>
    <t xml:space="preserve">QUANTITY </t>
  </si>
  <si>
    <t xml:space="preserve">RATE </t>
  </si>
  <si>
    <t xml:space="preserve">SALES </t>
  </si>
  <si>
    <t xml:space="preserve">QUATITY </t>
  </si>
  <si>
    <t>RATE</t>
  </si>
  <si>
    <t xml:space="preserve">CLOSING STOCK </t>
  </si>
  <si>
    <t>Samsung galaxy</t>
  </si>
  <si>
    <t>Redme note 13</t>
  </si>
  <si>
    <t>Oppo A38</t>
  </si>
  <si>
    <t>Vivo</t>
  </si>
  <si>
    <t xml:space="preserve">Realme </t>
  </si>
  <si>
    <t>Cemon 19</t>
  </si>
  <si>
    <t xml:space="preserve">Motorola </t>
  </si>
  <si>
    <t xml:space="preserve">Itel </t>
  </si>
  <si>
    <t xml:space="preserve">Vego tel </t>
  </si>
  <si>
    <t xml:space="preserve">Tecno </t>
  </si>
  <si>
    <t xml:space="preserve">Nokia </t>
  </si>
  <si>
    <t xml:space="preserve">Q mobile </t>
  </si>
  <si>
    <t xml:space="preserve">One plus </t>
  </si>
  <si>
    <t xml:space="preserve">Infinix </t>
  </si>
  <si>
    <t>PROFIT &amp;LOSS</t>
  </si>
  <si>
    <t>I phone 17</t>
  </si>
  <si>
    <t>STATUS</t>
  </si>
  <si>
    <t xml:space="preserve">               STOCK IN MANAGEMENT OF 2025</t>
  </si>
  <si>
    <t>Column Labels</t>
  </si>
  <si>
    <t>Grand Total</t>
  </si>
  <si>
    <t>Row Labels</t>
  </si>
  <si>
    <t xml:space="preserve">Total Sum of AMOUNT </t>
  </si>
  <si>
    <t xml:space="preserve">Sum of AMOUNT </t>
  </si>
  <si>
    <t>Total Sum of RATE</t>
  </si>
  <si>
    <t>Sum of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</si>
  <si>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</si>
  <si>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</si>
  <si>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</si>
  <si>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</si>
  <si>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</si>
  <si>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</si>
  <si>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</si>
  <si>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</si>
  <si>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</si>
  <si>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</si>
  <si>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</si>
  <si>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</si>
  <si>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</si>
  <si>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 xml:space="preserve">Total Sum of QUATITY </t>
  </si>
  <si>
    <t xml:space="preserve">Sum of QUATITY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</si>
</sst>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1"/>
      <color theme="1"/>
      <name val="Arial Rounded MT Bold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36"/>
      <color theme="4"/>
      <name val="Algerian"/>
      <family val="5"/>
    </font>
    <font>
      <sz val="11"/>
      <color theme="4"/>
      <name val="Calibri"/>
      <family val="2"/>
      <scheme val="minor"/>
    </font>
    <font>
      <sz val="16"/>
      <color theme="9" tint="-0.499984740745262"/>
      <name val="Algerian"/>
      <family val="5"/>
    </font>
    <font>
      <sz val="16"/>
      <color theme="5" tint="-0.499984740745262"/>
      <name val="Algerian"/>
      <family val="5"/>
    </font>
    <font>
      <sz val="11"/>
      <color theme="7" tint="-0.499984740745262"/>
      <name val="Calibri"/>
      <family val="2"/>
      <scheme val="minor"/>
    </font>
    <font>
      <sz val="16"/>
      <color theme="7" tint="-0.499984740745262"/>
      <name val="Algerian"/>
      <family val="5"/>
    </font>
    <font>
      <sz val="16"/>
      <color rgb="FF7030A0"/>
      <name val="Algerian"/>
      <family val="5"/>
    </font>
    <font>
      <sz val="16"/>
      <color theme="8" tint="-0.249977111117893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3A7FF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3" fillId="2" borderId="0" xfId="1" applyAlignment="1">
      <alignment horizontal="center"/>
    </xf>
    <xf numFmtId="0" fontId="5" fillId="3" borderId="0" xfId="2" applyAlignment="1">
      <alignment horizontal="center"/>
    </xf>
    <xf numFmtId="0" fontId="0" fillId="0" borderId="0" xfId="0" pivotButton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8" fillId="5" borderId="0" xfId="0" applyFont="1" applyFill="1"/>
    <xf numFmtId="0" fontId="10" fillId="6" borderId="0" xfId="0" applyFont="1" applyFill="1"/>
    <xf numFmtId="0" fontId="11" fillId="6" borderId="0" xfId="0" applyFont="1" applyFill="1"/>
    <xf numFmtId="0" fontId="9" fillId="7" borderId="0" xfId="0" applyFont="1" applyFill="1"/>
    <xf numFmtId="0" fontId="12" fillId="8" borderId="0" xfId="0" applyFont="1" applyFill="1"/>
    <xf numFmtId="0" fontId="13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/>
    <xf numFmtId="0" fontId="7" fillId="4" borderId="0" xfId="0" applyFont="1" applyFill="1"/>
    <xf numFmtId="0" fontId="0" fillId="0" borderId="0" xfId="0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66FF99"/>
      <color rgb="FF00FFFF"/>
      <color rgb="FF66FFFF"/>
      <color rgb="FFCCFFFF"/>
      <color rgb="FFFFCCCC"/>
      <color rgb="FFFF66CC"/>
      <color rgb="FFD3A7FF"/>
      <color rgb="FF33CCFF"/>
      <color rgb="FF993366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CS" refreshedDate="46053.60924351852" createdVersion="8" refreshedVersion="8" minRefreshableVersion="3" recordCount="16" xr:uid="{72CFEEAC-7D8B-49E9-9192-58BD09A83513}">
  <cacheSource type="worksheet">
    <worksheetSource ref="A6:K22" sheet="Sheet1"/>
  </cacheSource>
  <cacheFields count="13">
    <cacheField name="DATE " numFmtId="14">
      <sharedItems containsSemiMixedTypes="0" containsNonDate="0" containsDate="1" containsString="0" minDate="2025-01-01T00:00:00" maxDate="2025-12-05T00:00:00" count="15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12-02T00:00:00"/>
        <d v="2025-12-03T00:00:00"/>
        <d v="2025-12-04T00:00:00"/>
      </sharedItems>
      <fieldGroup par="12"/>
    </cacheField>
    <cacheField name="S.NO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ITEMS " numFmtId="0">
      <sharedItems count="15">
        <s v="Samsung galaxy"/>
        <s v="Redme note 13"/>
        <s v="Oppo A38"/>
        <s v="Vivo"/>
        <s v="Realme "/>
        <s v="Cemon 19"/>
        <s v="Motorola "/>
        <s v="Itel "/>
        <s v="Vego tel "/>
        <s v="Tecno "/>
        <s v="Nokia "/>
        <s v="I phone 17"/>
        <s v="Q mobile "/>
        <s v="One plus "/>
        <s v="Infinix "/>
      </sharedItems>
    </cacheField>
    <cacheField name="QUANTITY " numFmtId="0">
      <sharedItems containsSemiMixedTypes="0" containsString="0" containsNumber="1" containsInteger="1" minValue="20" maxValue="750" count="15">
        <n v="100"/>
        <n v="500"/>
        <n v="400"/>
        <n v="200"/>
        <n v="50"/>
        <n v="600"/>
        <n v="700"/>
        <n v="150"/>
        <n v="20"/>
        <n v="450"/>
        <n v="350"/>
        <n v="750"/>
        <n v="320"/>
        <n v="250"/>
        <n v="80"/>
      </sharedItems>
    </cacheField>
    <cacheField name="RATE " numFmtId="0">
      <sharedItems containsSemiMixedTypes="0" containsString="0" containsNumber="1" containsInteger="1" minValue="15" maxValue="800000" count="16">
        <n v="56500"/>
        <n v="35999"/>
        <n v="62000"/>
        <n v="66900"/>
        <n v="20000"/>
        <n v="51000"/>
        <n v="40000"/>
        <n v="12000"/>
        <n v="15000"/>
        <n v="16500"/>
        <n v="34999"/>
        <n v="800000"/>
        <n v="22800"/>
        <n v="43000"/>
        <n v="18000"/>
        <n v="15"/>
      </sharedItems>
    </cacheField>
    <cacheField name="AMOUNT " numFmtId="0">
      <sharedItems containsSemiMixedTypes="0" containsString="0" containsNumber="1" containsInteger="1" minValue="300000" maxValue="600000000" count="16">
        <n v="5650000"/>
        <n v="17999500"/>
        <n v="24800000"/>
        <n v="13380000"/>
        <n v="1000000"/>
        <n v="30600000"/>
        <n v="28000000"/>
        <n v="1800000"/>
        <n v="300000"/>
        <n v="7425000"/>
        <n v="12249650"/>
        <n v="600000000"/>
        <n v="7296000"/>
        <n v="10750000"/>
        <n v="1440000"/>
        <n v="50846010"/>
      </sharedItems>
    </cacheField>
    <cacheField name="QUATITY " numFmtId="0">
      <sharedItems containsSemiMixedTypes="0" containsString="0" containsNumber="1" containsInteger="1" minValue="5" maxValue="582" count="12">
        <n v="50"/>
        <n v="300"/>
        <n v="280"/>
        <n v="30"/>
        <n v="5"/>
        <n v="482"/>
        <n v="582"/>
        <n v="68"/>
        <n v="10"/>
        <n v="320"/>
        <n v="276"/>
        <n v="223"/>
      </sharedItems>
    </cacheField>
    <cacheField name="RATE" numFmtId="3">
      <sharedItems containsSemiMixedTypes="0" containsString="0" containsNumber="1" containsInteger="1" minValue="13000" maxValue="700000" count="15">
        <n v="60000"/>
        <n v="40000"/>
        <n v="68670"/>
        <n v="71000"/>
        <n v="16000"/>
        <n v="48000"/>
        <n v="39000"/>
        <n v="13000"/>
        <n v="14000"/>
        <n v="20000"/>
        <n v="37900"/>
        <n v="700000"/>
        <n v="25000"/>
        <n v="49999"/>
        <n v="20800"/>
      </sharedItems>
    </cacheField>
    <cacheField name="AMOUNT 2" numFmtId="0">
      <sharedItems containsSemiMixedTypes="0" containsString="0" containsNumber="1" containsInteger="1" minValue="140000" maxValue="330565777" count="16">
        <n v="3000000"/>
        <n v="12000000"/>
        <n v="19227600"/>
        <n v="2130000"/>
        <n v="800000"/>
        <n v="23136000"/>
        <n v="22698000"/>
        <n v="884000"/>
        <n v="140000"/>
        <n v="6400000"/>
        <n v="10460400"/>
        <n v="210000000"/>
        <n v="7500000"/>
        <n v="11149777"/>
        <n v="1040000"/>
        <n v="330565777"/>
      </sharedItems>
    </cacheField>
    <cacheField name="QUANTITY 2" numFmtId="0">
      <sharedItems containsSemiMixedTypes="0" containsString="0" containsNumber="1" containsInteger="1" minValue="10" maxValue="450" count="14">
        <n v="50"/>
        <n v="200"/>
        <n v="120"/>
        <n v="170"/>
        <n v="45"/>
        <n v="118"/>
        <n v="82"/>
        <n v="10"/>
        <n v="130"/>
        <n v="74"/>
        <n v="450"/>
        <n v="20"/>
        <n v="27"/>
        <n v="30"/>
      </sharedItems>
    </cacheField>
    <cacheField name="AMOUNT 3" numFmtId="0">
      <sharedItems containsSemiMixedTypes="0" containsString="0" containsNumber="1" containsInteger="1" minValue="15" maxValue="360000000" count="16">
        <n v="2825000"/>
        <n v="7199800"/>
        <n v="7440000"/>
        <n v="11373000"/>
        <n v="900000"/>
        <n v="6018000"/>
        <n v="4720000"/>
        <n v="984000"/>
        <n v="150000"/>
        <n v="2145000"/>
        <n v="2589926"/>
        <n v="360000000"/>
        <n v="456000"/>
        <n v="1161000"/>
        <n v="540000"/>
        <n v="15"/>
      </sharedItems>
    </cacheField>
    <cacheField name="Days (DATE )" numFmtId="0" databaseField="0">
      <fieldGroup base="0">
        <rangePr groupBy="days" startDate="2025-01-01T00:00:00" endDate="2025-12-05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5"/>
        </groupItems>
      </fieldGroup>
    </cacheField>
    <cacheField name="Months (DATE )" numFmtId="0" databaseField="0">
      <fieldGroup base="0">
        <rangePr groupBy="months" startDate="2025-01-01T00:00:00" endDate="2025-12-05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5"/>
    <x v="6"/>
  </r>
  <r>
    <x v="7"/>
    <x v="7"/>
    <x v="7"/>
    <x v="7"/>
    <x v="7"/>
    <x v="7"/>
    <x v="7"/>
    <x v="7"/>
    <x v="7"/>
    <x v="6"/>
    <x v="7"/>
  </r>
  <r>
    <x v="8"/>
    <x v="8"/>
    <x v="8"/>
    <x v="8"/>
    <x v="8"/>
    <x v="8"/>
    <x v="8"/>
    <x v="8"/>
    <x v="8"/>
    <x v="7"/>
    <x v="8"/>
  </r>
  <r>
    <x v="9"/>
    <x v="9"/>
    <x v="9"/>
    <x v="9"/>
    <x v="9"/>
    <x v="9"/>
    <x v="9"/>
    <x v="9"/>
    <x v="9"/>
    <x v="8"/>
    <x v="9"/>
  </r>
  <r>
    <x v="10"/>
    <x v="10"/>
    <x v="10"/>
    <x v="10"/>
    <x v="10"/>
    <x v="10"/>
    <x v="10"/>
    <x v="10"/>
    <x v="10"/>
    <x v="9"/>
    <x v="10"/>
  </r>
  <r>
    <x v="11"/>
    <x v="11"/>
    <x v="11"/>
    <x v="11"/>
    <x v="11"/>
    <x v="11"/>
    <x v="1"/>
    <x v="11"/>
    <x v="11"/>
    <x v="10"/>
    <x v="11"/>
  </r>
  <r>
    <x v="12"/>
    <x v="12"/>
    <x v="12"/>
    <x v="12"/>
    <x v="12"/>
    <x v="12"/>
    <x v="1"/>
    <x v="12"/>
    <x v="12"/>
    <x v="11"/>
    <x v="12"/>
  </r>
  <r>
    <x v="13"/>
    <x v="13"/>
    <x v="13"/>
    <x v="13"/>
    <x v="13"/>
    <x v="13"/>
    <x v="11"/>
    <x v="13"/>
    <x v="13"/>
    <x v="12"/>
    <x v="13"/>
  </r>
  <r>
    <x v="14"/>
    <x v="14"/>
    <x v="14"/>
    <x v="14"/>
    <x v="14"/>
    <x v="14"/>
    <x v="0"/>
    <x v="14"/>
    <x v="14"/>
    <x v="13"/>
    <x v="14"/>
  </r>
  <r>
    <x v="11"/>
    <x v="15"/>
    <x v="0"/>
    <x v="8"/>
    <x v="15"/>
    <x v="15"/>
    <x v="6"/>
    <x v="7"/>
    <x v="15"/>
    <x v="1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D783C-494B-4C87-A69E-8649DAADC28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N59" firstHeaderRow="1" firstDataRow="6" firstDataCol="1" rowPageCount="3" colPageCount="1"/>
  <pivotFields count="13">
    <pivotField axis="axisCol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showAll="0">
      <items count="16">
        <item x="5"/>
        <item x="11"/>
        <item x="14"/>
        <item x="7"/>
        <item x="6"/>
        <item x="10"/>
        <item x="13"/>
        <item x="2"/>
        <item x="12"/>
        <item x="4"/>
        <item x="1"/>
        <item x="0"/>
        <item x="9"/>
        <item x="8"/>
        <item x="3"/>
        <item t="default"/>
      </items>
    </pivotField>
    <pivotField axis="axisPage" showAll="0">
      <items count="16">
        <item x="8"/>
        <item x="4"/>
        <item x="14"/>
        <item x="0"/>
        <item x="7"/>
        <item x="3"/>
        <item x="13"/>
        <item x="12"/>
        <item x="10"/>
        <item x="2"/>
        <item x="9"/>
        <item x="1"/>
        <item x="5"/>
        <item x="6"/>
        <item x="11"/>
        <item t="default"/>
      </items>
    </pivotField>
    <pivotField axis="axisPage" showAll="0">
      <items count="17">
        <item x="15"/>
        <item x="7"/>
        <item x="8"/>
        <item x="9"/>
        <item x="14"/>
        <item x="4"/>
        <item x="12"/>
        <item x="10"/>
        <item x="1"/>
        <item x="6"/>
        <item x="13"/>
        <item x="5"/>
        <item x="0"/>
        <item x="2"/>
        <item x="3"/>
        <item x="11"/>
        <item t="default"/>
      </items>
    </pivotField>
    <pivotField dataField="1" showAll="0"/>
    <pivotField dataField="1" showAll="0"/>
    <pivotField dataField="1" numFmtId="3" showAll="0"/>
    <pivotField axis="axisRow" showAll="0">
      <items count="17">
        <item x="8"/>
        <item x="4"/>
        <item x="7"/>
        <item x="14"/>
        <item x="3"/>
        <item x="0"/>
        <item x="9"/>
        <item x="12"/>
        <item x="10"/>
        <item x="13"/>
        <item x="1"/>
        <item x="2"/>
        <item x="6"/>
        <item x="5"/>
        <item x="11"/>
        <item x="15"/>
        <item t="default"/>
      </items>
    </pivotField>
    <pivotField axis="axisRow" showAll="0">
      <items count="15">
        <item x="7"/>
        <item x="11"/>
        <item x="12"/>
        <item x="13"/>
        <item x="4"/>
        <item x="0"/>
        <item x="9"/>
        <item x="6"/>
        <item x="5"/>
        <item x="2"/>
        <item x="8"/>
        <item x="3"/>
        <item x="1"/>
        <item x="10"/>
        <item t="default"/>
      </items>
    </pivotField>
    <pivotField axis="axisRow" showAll="0">
      <items count="17">
        <item x="15"/>
        <item x="8"/>
        <item x="12"/>
        <item x="14"/>
        <item x="4"/>
        <item x="7"/>
        <item x="13"/>
        <item x="9"/>
        <item x="10"/>
        <item x="0"/>
        <item x="6"/>
        <item x="5"/>
        <item x="1"/>
        <item x="2"/>
        <item x="3"/>
        <item x="11"/>
        <item t="default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8"/>
    <field x="9"/>
    <field x="10"/>
  </rowFields>
  <rowItems count="49">
    <i>
      <x/>
    </i>
    <i r="1">
      <x/>
    </i>
    <i r="2">
      <x v="1"/>
    </i>
    <i>
      <x v="1"/>
    </i>
    <i r="1">
      <x v="4"/>
    </i>
    <i r="2">
      <x v="4"/>
    </i>
    <i>
      <x v="2"/>
    </i>
    <i r="1">
      <x v="7"/>
    </i>
    <i r="2">
      <x v="5"/>
    </i>
    <i>
      <x v="3"/>
    </i>
    <i r="1">
      <x v="3"/>
    </i>
    <i r="2">
      <x v="3"/>
    </i>
    <i>
      <x v="4"/>
    </i>
    <i r="1">
      <x v="11"/>
    </i>
    <i r="2">
      <x v="14"/>
    </i>
    <i>
      <x v="5"/>
    </i>
    <i r="1">
      <x v="5"/>
    </i>
    <i r="2">
      <x v="9"/>
    </i>
    <i>
      <x v="6"/>
    </i>
    <i r="1">
      <x v="10"/>
    </i>
    <i r="2">
      <x v="7"/>
    </i>
    <i>
      <x v="7"/>
    </i>
    <i r="1">
      <x v="1"/>
    </i>
    <i r="2">
      <x v="2"/>
    </i>
    <i>
      <x v="8"/>
    </i>
    <i r="1">
      <x v="6"/>
    </i>
    <i r="2">
      <x v="8"/>
    </i>
    <i>
      <x v="9"/>
    </i>
    <i r="1">
      <x v="2"/>
    </i>
    <i r="2">
      <x v="6"/>
    </i>
    <i>
      <x v="10"/>
    </i>
    <i r="1">
      <x v="12"/>
    </i>
    <i r="2">
      <x v="12"/>
    </i>
    <i>
      <x v="11"/>
    </i>
    <i r="1">
      <x v="9"/>
    </i>
    <i r="2">
      <x v="13"/>
    </i>
    <i>
      <x v="12"/>
    </i>
    <i r="1">
      <x v="8"/>
    </i>
    <i r="2">
      <x v="10"/>
    </i>
    <i>
      <x v="13"/>
    </i>
    <i r="1">
      <x v="8"/>
    </i>
    <i r="2">
      <x v="11"/>
    </i>
    <i>
      <x v="14"/>
    </i>
    <i r="1">
      <x v="13"/>
    </i>
    <i r="2">
      <x v="15"/>
    </i>
    <i>
      <x v="15"/>
    </i>
    <i r="1">
      <x v="13"/>
    </i>
    <i r="2">
      <x/>
    </i>
    <i t="grand">
      <x/>
    </i>
  </rowItems>
  <colFields count="5">
    <field x="12"/>
    <field x="11"/>
    <field x="1"/>
    <field x="0"/>
    <field x="-2"/>
  </colFields>
  <colItems count="39">
    <i>
      <x v="1"/>
      <x v="1048832"/>
      <x v="1048832"/>
      <x v="1048832"/>
      <x/>
    </i>
    <i r="4" i="1">
      <x v="1"/>
    </i>
    <i r="4" i="2">
      <x v="2"/>
    </i>
    <i>
      <x v="2"/>
      <x v="1048832"/>
      <x v="1048832"/>
      <x v="1048832"/>
      <x/>
    </i>
    <i r="4" i="1">
      <x v="1"/>
    </i>
    <i r="4" i="2">
      <x v="2"/>
    </i>
    <i>
      <x v="3"/>
      <x v="1048832"/>
      <x v="1048832"/>
      <x v="1048832"/>
      <x/>
    </i>
    <i r="4" i="1">
      <x v="1"/>
    </i>
    <i r="4" i="2">
      <x v="2"/>
    </i>
    <i>
      <x v="4"/>
      <x v="1048832"/>
      <x v="1048832"/>
      <x v="1048832"/>
      <x/>
    </i>
    <i r="4" i="1">
      <x v="1"/>
    </i>
    <i r="4" i="2">
      <x v="2"/>
    </i>
    <i>
      <x v="5"/>
      <x v="1048832"/>
      <x v="1048832"/>
      <x v="1048832"/>
      <x/>
    </i>
    <i r="4" i="1">
      <x v="1"/>
    </i>
    <i r="4" i="2">
      <x v="2"/>
    </i>
    <i>
      <x v="6"/>
      <x v="1048832"/>
      <x v="1048832"/>
      <x v="1048832"/>
      <x/>
    </i>
    <i r="4" i="1">
      <x v="1"/>
    </i>
    <i r="4" i="2">
      <x v="2"/>
    </i>
    <i>
      <x v="7"/>
      <x v="1048832"/>
      <x v="1048832"/>
      <x v="1048832"/>
      <x/>
    </i>
    <i r="4" i="1">
      <x v="1"/>
    </i>
    <i r="4" i="2">
      <x v="2"/>
    </i>
    <i>
      <x v="8"/>
      <x v="1048832"/>
      <x v="1048832"/>
      <x v="1048832"/>
      <x/>
    </i>
    <i r="4" i="1">
      <x v="1"/>
    </i>
    <i r="4" i="2">
      <x v="2"/>
    </i>
    <i>
      <x v="9"/>
      <x v="1048832"/>
      <x v="1048832"/>
      <x v="1048832"/>
      <x/>
    </i>
    <i r="4" i="1">
      <x v="1"/>
    </i>
    <i r="4" i="2">
      <x v="2"/>
    </i>
    <i>
      <x v="10"/>
      <x v="1048832"/>
      <x v="1048832"/>
      <x v="1048832"/>
      <x/>
    </i>
    <i r="4" i="1">
      <x v="1"/>
    </i>
    <i r="4" i="2">
      <x v="2"/>
    </i>
    <i>
      <x v="11"/>
      <x v="1048832"/>
      <x v="1048832"/>
      <x v="1048832"/>
      <x/>
    </i>
    <i r="4" i="1">
      <x v="1"/>
    </i>
    <i r="4" i="2">
      <x v="2"/>
    </i>
    <i>
      <x v="12"/>
      <x v="1048832"/>
      <x v="1048832"/>
      <x v="1048832"/>
      <x/>
    </i>
    <i r="4" i="1">
      <x v="1"/>
    </i>
    <i r="4" i="2">
      <x v="2"/>
    </i>
    <i t="grand">
      <x/>
    </i>
    <i t="grand" i="1">
      <x/>
    </i>
    <i t="grand" i="2">
      <x/>
    </i>
  </colItems>
  <pageFields count="3">
    <pageField fld="2" hier="-1"/>
    <pageField fld="3" hier="-1"/>
    <pageField fld="4" hier="-1"/>
  </pageFields>
  <dataFields count="3">
    <dataField name="Sum of AMOUNT " fld="5" baseField="0" baseItem="0"/>
    <dataField name="Sum of QUATITY " fld="6" baseField="0" baseItem="0"/>
    <dataField name="Sum of RATE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3035-A614-479D-BC4B-3AFC0802D19C}">
  <dimension ref="A1:AN59"/>
  <sheetViews>
    <sheetView workbookViewId="0">
      <selection activeCell="B27" sqref="B27:B28"/>
    </sheetView>
  </sheetViews>
  <sheetFormatPr defaultRowHeight="14.25" x14ac:dyDescent="0.45"/>
  <cols>
    <col min="1" max="1" width="15.53125" bestFit="1" customWidth="1"/>
    <col min="2" max="2" width="15.1328125" bestFit="1" customWidth="1"/>
    <col min="3" max="3" width="14.6640625" bestFit="1" customWidth="1"/>
    <col min="4" max="4" width="11.06640625" bestFit="1" customWidth="1"/>
    <col min="5" max="5" width="15.1328125" bestFit="1" customWidth="1"/>
    <col min="6" max="6" width="14.6640625" bestFit="1" customWidth="1"/>
    <col min="7" max="7" width="11.06640625" bestFit="1" customWidth="1"/>
    <col min="8" max="8" width="15.1328125" bestFit="1" customWidth="1"/>
    <col min="9" max="9" width="14.6640625" bestFit="1" customWidth="1"/>
    <col min="10" max="10" width="11.06640625" bestFit="1" customWidth="1"/>
    <col min="11" max="11" width="15.1328125" bestFit="1" customWidth="1"/>
    <col min="12" max="12" width="14.6640625" bestFit="1" customWidth="1"/>
    <col min="13" max="13" width="11.06640625" bestFit="1" customWidth="1"/>
    <col min="14" max="14" width="15.1328125" bestFit="1" customWidth="1"/>
    <col min="15" max="15" width="14.6640625" bestFit="1" customWidth="1"/>
    <col min="16" max="16" width="11.06640625" bestFit="1" customWidth="1"/>
    <col min="17" max="17" width="15.1328125" bestFit="1" customWidth="1"/>
    <col min="18" max="18" width="14.6640625" bestFit="1" customWidth="1"/>
    <col min="19" max="19" width="11.06640625" bestFit="1" customWidth="1"/>
    <col min="20" max="20" width="15.1328125" bestFit="1" customWidth="1"/>
    <col min="21" max="21" width="14.6640625" bestFit="1" customWidth="1"/>
    <col min="22" max="22" width="11.06640625" bestFit="1" customWidth="1"/>
    <col min="23" max="23" width="15.1328125" bestFit="1" customWidth="1"/>
    <col min="24" max="24" width="14.6640625" bestFit="1" customWidth="1"/>
    <col min="25" max="25" width="11.06640625" bestFit="1" customWidth="1"/>
    <col min="26" max="26" width="15.1328125" bestFit="1" customWidth="1"/>
    <col min="27" max="27" width="14.6640625" bestFit="1" customWidth="1"/>
    <col min="28" max="28" width="11.06640625" bestFit="1" customWidth="1"/>
    <col min="29" max="29" width="15.1328125" bestFit="1" customWidth="1"/>
    <col min="30" max="30" width="14.6640625" bestFit="1" customWidth="1"/>
    <col min="31" max="31" width="11.06640625" bestFit="1" customWidth="1"/>
    <col min="32" max="32" width="15.1328125" bestFit="1" customWidth="1"/>
    <col min="33" max="33" width="14.6640625" bestFit="1" customWidth="1"/>
    <col min="34" max="34" width="11.06640625" bestFit="1" customWidth="1"/>
    <col min="35" max="35" width="15.1328125" bestFit="1" customWidth="1"/>
    <col min="36" max="36" width="14.6640625" bestFit="1" customWidth="1"/>
    <col min="37" max="37" width="11.06640625" bestFit="1" customWidth="1"/>
    <col min="38" max="38" width="19.73046875" bestFit="1" customWidth="1"/>
    <col min="39" max="39" width="19.265625" bestFit="1" customWidth="1"/>
    <col min="40" max="40" width="15.6640625" bestFit="1" customWidth="1"/>
  </cols>
  <sheetData>
    <row r="1" spans="1:40" x14ac:dyDescent="0.45">
      <c r="A1" s="10" t="s">
        <v>1</v>
      </c>
      <c r="B1" t="s">
        <v>48</v>
      </c>
    </row>
    <row r="2" spans="1:40" x14ac:dyDescent="0.45">
      <c r="A2" s="10" t="s">
        <v>5</v>
      </c>
      <c r="B2" t="s">
        <v>48</v>
      </c>
    </row>
    <row r="3" spans="1:40" x14ac:dyDescent="0.45">
      <c r="A3" s="10" t="s">
        <v>6</v>
      </c>
      <c r="B3" t="s">
        <v>48</v>
      </c>
    </row>
    <row r="5" spans="1:40" x14ac:dyDescent="0.45">
      <c r="B5" s="10" t="s">
        <v>29</v>
      </c>
    </row>
    <row r="6" spans="1:40" x14ac:dyDescent="0.45">
      <c r="B6" t="s">
        <v>36</v>
      </c>
      <c r="E6" t="s">
        <v>37</v>
      </c>
      <c r="H6" t="s">
        <v>38</v>
      </c>
      <c r="K6" t="s">
        <v>39</v>
      </c>
      <c r="N6" t="s">
        <v>40</v>
      </c>
      <c r="Q6" t="s">
        <v>41</v>
      </c>
      <c r="T6" t="s">
        <v>42</v>
      </c>
      <c r="W6" t="s">
        <v>43</v>
      </c>
      <c r="Z6" t="s">
        <v>44</v>
      </c>
      <c r="AC6" t="s">
        <v>45</v>
      </c>
      <c r="AF6" t="s">
        <v>46</v>
      </c>
      <c r="AI6" t="s">
        <v>47</v>
      </c>
      <c r="AL6" t="s">
        <v>32</v>
      </c>
      <c r="AM6" t="s">
        <v>49</v>
      </c>
      <c r="AN6" t="s">
        <v>34</v>
      </c>
    </row>
    <row r="10" spans="1:40" x14ac:dyDescent="0.45">
      <c r="A10" s="10" t="s">
        <v>31</v>
      </c>
      <c r="B10" t="s">
        <v>33</v>
      </c>
      <c r="C10" t="s">
        <v>50</v>
      </c>
      <c r="D10" t="s">
        <v>35</v>
      </c>
      <c r="E10" t="s">
        <v>33</v>
      </c>
      <c r="F10" t="s">
        <v>50</v>
      </c>
      <c r="G10" t="s">
        <v>35</v>
      </c>
      <c r="H10" t="s">
        <v>33</v>
      </c>
      <c r="I10" t="s">
        <v>50</v>
      </c>
      <c r="J10" t="s">
        <v>35</v>
      </c>
      <c r="K10" t="s">
        <v>33</v>
      </c>
      <c r="L10" t="s">
        <v>50</v>
      </c>
      <c r="M10" t="s">
        <v>35</v>
      </c>
      <c r="N10" t="s">
        <v>33</v>
      </c>
      <c r="O10" t="s">
        <v>50</v>
      </c>
      <c r="P10" t="s">
        <v>35</v>
      </c>
      <c r="Q10" t="s">
        <v>33</v>
      </c>
      <c r="R10" t="s">
        <v>50</v>
      </c>
      <c r="S10" t="s">
        <v>35</v>
      </c>
      <c r="T10" t="s">
        <v>33</v>
      </c>
      <c r="U10" t="s">
        <v>50</v>
      </c>
      <c r="V10" t="s">
        <v>35</v>
      </c>
      <c r="W10" t="s">
        <v>33</v>
      </c>
      <c r="X10" t="s">
        <v>50</v>
      </c>
      <c r="Y10" t="s">
        <v>35</v>
      </c>
      <c r="Z10" t="s">
        <v>33</v>
      </c>
      <c r="AA10" t="s">
        <v>50</v>
      </c>
      <c r="AB10" t="s">
        <v>35</v>
      </c>
      <c r="AC10" t="s">
        <v>33</v>
      </c>
      <c r="AD10" t="s">
        <v>50</v>
      </c>
      <c r="AE10" t="s">
        <v>35</v>
      </c>
      <c r="AF10" t="s">
        <v>33</v>
      </c>
      <c r="AG10" t="s">
        <v>50</v>
      </c>
      <c r="AH10" t="s">
        <v>35</v>
      </c>
      <c r="AI10" t="s">
        <v>33</v>
      </c>
      <c r="AJ10" t="s">
        <v>50</v>
      </c>
      <c r="AK10" t="s">
        <v>35</v>
      </c>
    </row>
    <row r="11" spans="1:40" x14ac:dyDescent="0.45">
      <c r="A11" s="7">
        <v>140000</v>
      </c>
      <c r="B11" s="27"/>
      <c r="C11" s="27"/>
      <c r="D11" s="11"/>
      <c r="E11" s="27"/>
      <c r="F11" s="27"/>
      <c r="G11" s="11"/>
      <c r="H11" s="27"/>
      <c r="I11" s="27"/>
      <c r="J11" s="11"/>
      <c r="K11" s="27"/>
      <c r="L11" s="27"/>
      <c r="M11" s="11"/>
      <c r="N11" s="27"/>
      <c r="O11" s="27"/>
      <c r="P11" s="11"/>
      <c r="Q11" s="27"/>
      <c r="R11" s="27"/>
      <c r="S11" s="11"/>
      <c r="T11" s="27"/>
      <c r="U11" s="27"/>
      <c r="V11" s="11"/>
      <c r="W11" s="27"/>
      <c r="X11" s="27"/>
      <c r="Y11" s="11"/>
      <c r="Z11" s="27">
        <v>300000</v>
      </c>
      <c r="AA11" s="27">
        <v>10</v>
      </c>
      <c r="AB11" s="11">
        <v>14000</v>
      </c>
      <c r="AC11" s="27"/>
      <c r="AD11" s="27"/>
      <c r="AE11" s="11"/>
      <c r="AF11" s="27"/>
      <c r="AG11" s="27"/>
      <c r="AH11" s="11"/>
      <c r="AI11" s="27"/>
      <c r="AJ11" s="27"/>
      <c r="AK11" s="11"/>
      <c r="AL11" s="27">
        <v>300000</v>
      </c>
      <c r="AM11" s="27">
        <v>10</v>
      </c>
      <c r="AN11" s="11">
        <v>14000</v>
      </c>
    </row>
    <row r="12" spans="1:40" x14ac:dyDescent="0.45">
      <c r="A12" s="28">
        <v>10</v>
      </c>
      <c r="B12" s="27"/>
      <c r="C12" s="27"/>
      <c r="D12" s="11"/>
      <c r="E12" s="27"/>
      <c r="F12" s="27"/>
      <c r="G12" s="11"/>
      <c r="H12" s="27"/>
      <c r="I12" s="27"/>
      <c r="J12" s="11"/>
      <c r="K12" s="27"/>
      <c r="L12" s="27"/>
      <c r="M12" s="11"/>
      <c r="N12" s="27"/>
      <c r="O12" s="27"/>
      <c r="P12" s="11"/>
      <c r="Q12" s="27"/>
      <c r="R12" s="27"/>
      <c r="S12" s="11"/>
      <c r="T12" s="27"/>
      <c r="U12" s="27"/>
      <c r="V12" s="11"/>
      <c r="W12" s="27"/>
      <c r="X12" s="27"/>
      <c r="Y12" s="11"/>
      <c r="Z12" s="27">
        <v>300000</v>
      </c>
      <c r="AA12" s="27">
        <v>10</v>
      </c>
      <c r="AB12" s="11">
        <v>14000</v>
      </c>
      <c r="AC12" s="27"/>
      <c r="AD12" s="27"/>
      <c r="AE12" s="11"/>
      <c r="AF12" s="27"/>
      <c r="AG12" s="27"/>
      <c r="AH12" s="11"/>
      <c r="AI12" s="27"/>
      <c r="AJ12" s="27"/>
      <c r="AK12" s="11"/>
      <c r="AL12" s="27">
        <v>300000</v>
      </c>
      <c r="AM12" s="27">
        <v>10</v>
      </c>
      <c r="AN12" s="11">
        <v>14000</v>
      </c>
    </row>
    <row r="13" spans="1:40" x14ac:dyDescent="0.45">
      <c r="A13" s="29">
        <v>150000</v>
      </c>
      <c r="B13" s="27"/>
      <c r="C13" s="27"/>
      <c r="D13" s="11"/>
      <c r="E13" s="27"/>
      <c r="F13" s="27"/>
      <c r="G13" s="11"/>
      <c r="H13" s="27"/>
      <c r="I13" s="27"/>
      <c r="J13" s="11"/>
      <c r="K13" s="27"/>
      <c r="L13" s="27"/>
      <c r="M13" s="11"/>
      <c r="N13" s="27"/>
      <c r="O13" s="27"/>
      <c r="P13" s="11"/>
      <c r="Q13" s="27"/>
      <c r="R13" s="27"/>
      <c r="S13" s="11"/>
      <c r="T13" s="27"/>
      <c r="U13" s="27"/>
      <c r="V13" s="11"/>
      <c r="W13" s="27"/>
      <c r="X13" s="27"/>
      <c r="Y13" s="11"/>
      <c r="Z13" s="27">
        <v>300000</v>
      </c>
      <c r="AA13" s="27">
        <v>10</v>
      </c>
      <c r="AB13" s="11">
        <v>14000</v>
      </c>
      <c r="AC13" s="27"/>
      <c r="AD13" s="27"/>
      <c r="AE13" s="11"/>
      <c r="AF13" s="27"/>
      <c r="AG13" s="27"/>
      <c r="AH13" s="11"/>
      <c r="AI13" s="27"/>
      <c r="AJ13" s="27"/>
      <c r="AK13" s="11"/>
      <c r="AL13" s="27">
        <v>300000</v>
      </c>
      <c r="AM13" s="27">
        <v>10</v>
      </c>
      <c r="AN13" s="11">
        <v>14000</v>
      </c>
    </row>
    <row r="14" spans="1:40" x14ac:dyDescent="0.45">
      <c r="A14" s="7">
        <v>800000</v>
      </c>
      <c r="B14" s="27"/>
      <c r="C14" s="27"/>
      <c r="D14" s="11"/>
      <c r="E14" s="27"/>
      <c r="F14" s="27"/>
      <c r="G14" s="11"/>
      <c r="H14" s="27"/>
      <c r="I14" s="27"/>
      <c r="J14" s="11"/>
      <c r="K14" s="27"/>
      <c r="L14" s="27"/>
      <c r="M14" s="11"/>
      <c r="N14" s="27">
        <v>1000000</v>
      </c>
      <c r="O14" s="27">
        <v>5</v>
      </c>
      <c r="P14" s="11">
        <v>16000</v>
      </c>
      <c r="Q14" s="27"/>
      <c r="R14" s="27"/>
      <c r="S14" s="11"/>
      <c r="T14" s="27"/>
      <c r="U14" s="27"/>
      <c r="V14" s="11"/>
      <c r="W14" s="27"/>
      <c r="X14" s="27"/>
      <c r="Y14" s="11"/>
      <c r="Z14" s="27"/>
      <c r="AA14" s="27"/>
      <c r="AB14" s="11"/>
      <c r="AC14" s="27"/>
      <c r="AD14" s="27"/>
      <c r="AE14" s="11"/>
      <c r="AF14" s="27"/>
      <c r="AG14" s="27"/>
      <c r="AH14" s="11"/>
      <c r="AI14" s="27"/>
      <c r="AJ14" s="27"/>
      <c r="AK14" s="11"/>
      <c r="AL14" s="27">
        <v>1000000</v>
      </c>
      <c r="AM14" s="27">
        <v>5</v>
      </c>
      <c r="AN14" s="11">
        <v>16000</v>
      </c>
    </row>
    <row r="15" spans="1:40" x14ac:dyDescent="0.45">
      <c r="A15" s="28">
        <v>45</v>
      </c>
      <c r="B15" s="27"/>
      <c r="C15" s="27"/>
      <c r="D15" s="11"/>
      <c r="E15" s="27"/>
      <c r="F15" s="27"/>
      <c r="G15" s="11"/>
      <c r="H15" s="27"/>
      <c r="I15" s="27"/>
      <c r="J15" s="11"/>
      <c r="K15" s="27"/>
      <c r="L15" s="27"/>
      <c r="M15" s="11"/>
      <c r="N15" s="27">
        <v>1000000</v>
      </c>
      <c r="O15" s="27">
        <v>5</v>
      </c>
      <c r="P15" s="11">
        <v>16000</v>
      </c>
      <c r="Q15" s="27"/>
      <c r="R15" s="27"/>
      <c r="S15" s="11"/>
      <c r="T15" s="27"/>
      <c r="U15" s="27"/>
      <c r="V15" s="11"/>
      <c r="W15" s="27"/>
      <c r="X15" s="27"/>
      <c r="Y15" s="11"/>
      <c r="Z15" s="27"/>
      <c r="AA15" s="27"/>
      <c r="AB15" s="11"/>
      <c r="AC15" s="27"/>
      <c r="AD15" s="27"/>
      <c r="AE15" s="11"/>
      <c r="AF15" s="27"/>
      <c r="AG15" s="27"/>
      <c r="AH15" s="11"/>
      <c r="AI15" s="27"/>
      <c r="AJ15" s="27"/>
      <c r="AK15" s="11"/>
      <c r="AL15" s="27">
        <v>1000000</v>
      </c>
      <c r="AM15" s="27">
        <v>5</v>
      </c>
      <c r="AN15" s="11">
        <v>16000</v>
      </c>
    </row>
    <row r="16" spans="1:40" x14ac:dyDescent="0.45">
      <c r="A16" s="29">
        <v>900000</v>
      </c>
      <c r="B16" s="27"/>
      <c r="C16" s="27"/>
      <c r="D16" s="11"/>
      <c r="E16" s="27"/>
      <c r="F16" s="27"/>
      <c r="G16" s="11"/>
      <c r="H16" s="27"/>
      <c r="I16" s="27"/>
      <c r="J16" s="11"/>
      <c r="K16" s="27"/>
      <c r="L16" s="27"/>
      <c r="M16" s="11"/>
      <c r="N16" s="27">
        <v>1000000</v>
      </c>
      <c r="O16" s="27">
        <v>5</v>
      </c>
      <c r="P16" s="11">
        <v>16000</v>
      </c>
      <c r="Q16" s="27"/>
      <c r="R16" s="27"/>
      <c r="S16" s="11"/>
      <c r="T16" s="27"/>
      <c r="U16" s="27"/>
      <c r="V16" s="11"/>
      <c r="W16" s="27"/>
      <c r="X16" s="27"/>
      <c r="Y16" s="11"/>
      <c r="Z16" s="27"/>
      <c r="AA16" s="27"/>
      <c r="AB16" s="11"/>
      <c r="AC16" s="27"/>
      <c r="AD16" s="27"/>
      <c r="AE16" s="11"/>
      <c r="AF16" s="27"/>
      <c r="AG16" s="27"/>
      <c r="AH16" s="11"/>
      <c r="AI16" s="27"/>
      <c r="AJ16" s="27"/>
      <c r="AK16" s="11"/>
      <c r="AL16" s="27">
        <v>1000000</v>
      </c>
      <c r="AM16" s="27">
        <v>5</v>
      </c>
      <c r="AN16" s="11">
        <v>16000</v>
      </c>
    </row>
    <row r="17" spans="1:40" x14ac:dyDescent="0.45">
      <c r="A17" s="7">
        <v>884000</v>
      </c>
      <c r="B17" s="27"/>
      <c r="C17" s="27"/>
      <c r="D17" s="11"/>
      <c r="E17" s="27"/>
      <c r="F17" s="27"/>
      <c r="G17" s="11"/>
      <c r="H17" s="27"/>
      <c r="I17" s="27"/>
      <c r="J17" s="11"/>
      <c r="K17" s="27"/>
      <c r="L17" s="27"/>
      <c r="M17" s="11"/>
      <c r="N17" s="27"/>
      <c r="O17" s="27"/>
      <c r="P17" s="11"/>
      <c r="Q17" s="27"/>
      <c r="R17" s="27"/>
      <c r="S17" s="11"/>
      <c r="T17" s="27"/>
      <c r="U17" s="27"/>
      <c r="V17" s="11"/>
      <c r="W17" s="27">
        <v>1800000</v>
      </c>
      <c r="X17" s="27">
        <v>68</v>
      </c>
      <c r="Y17" s="11">
        <v>13000</v>
      </c>
      <c r="Z17" s="27"/>
      <c r="AA17" s="27"/>
      <c r="AB17" s="11"/>
      <c r="AC17" s="27"/>
      <c r="AD17" s="27"/>
      <c r="AE17" s="11"/>
      <c r="AF17" s="27"/>
      <c r="AG17" s="27"/>
      <c r="AH17" s="11"/>
      <c r="AI17" s="27"/>
      <c r="AJ17" s="27"/>
      <c r="AK17" s="11"/>
      <c r="AL17" s="27">
        <v>1800000</v>
      </c>
      <c r="AM17" s="27">
        <v>68</v>
      </c>
      <c r="AN17" s="11">
        <v>13000</v>
      </c>
    </row>
    <row r="18" spans="1:40" x14ac:dyDescent="0.45">
      <c r="A18" s="28">
        <v>82</v>
      </c>
      <c r="B18" s="27"/>
      <c r="C18" s="27"/>
      <c r="D18" s="11"/>
      <c r="E18" s="27"/>
      <c r="F18" s="27"/>
      <c r="G18" s="11"/>
      <c r="H18" s="27"/>
      <c r="I18" s="27"/>
      <c r="J18" s="11"/>
      <c r="K18" s="27"/>
      <c r="L18" s="27"/>
      <c r="M18" s="11"/>
      <c r="N18" s="27"/>
      <c r="O18" s="27"/>
      <c r="P18" s="11"/>
      <c r="Q18" s="27"/>
      <c r="R18" s="27"/>
      <c r="S18" s="11"/>
      <c r="T18" s="27"/>
      <c r="U18" s="27"/>
      <c r="V18" s="11"/>
      <c r="W18" s="27">
        <v>1800000</v>
      </c>
      <c r="X18" s="27">
        <v>68</v>
      </c>
      <c r="Y18" s="11">
        <v>13000</v>
      </c>
      <c r="Z18" s="27"/>
      <c r="AA18" s="27"/>
      <c r="AB18" s="11"/>
      <c r="AC18" s="27"/>
      <c r="AD18" s="27"/>
      <c r="AE18" s="11"/>
      <c r="AF18" s="27"/>
      <c r="AG18" s="27"/>
      <c r="AH18" s="11"/>
      <c r="AI18" s="27"/>
      <c r="AJ18" s="27"/>
      <c r="AK18" s="11"/>
      <c r="AL18" s="27">
        <v>1800000</v>
      </c>
      <c r="AM18" s="27">
        <v>68</v>
      </c>
      <c r="AN18" s="11">
        <v>13000</v>
      </c>
    </row>
    <row r="19" spans="1:40" x14ac:dyDescent="0.45">
      <c r="A19" s="29">
        <v>984000</v>
      </c>
      <c r="B19" s="27"/>
      <c r="C19" s="27"/>
      <c r="D19" s="11"/>
      <c r="E19" s="27"/>
      <c r="F19" s="27"/>
      <c r="G19" s="11"/>
      <c r="H19" s="27"/>
      <c r="I19" s="27"/>
      <c r="J19" s="11"/>
      <c r="K19" s="27"/>
      <c r="L19" s="27"/>
      <c r="M19" s="11"/>
      <c r="N19" s="27"/>
      <c r="O19" s="27"/>
      <c r="P19" s="11"/>
      <c r="Q19" s="27"/>
      <c r="R19" s="27"/>
      <c r="S19" s="11"/>
      <c r="T19" s="27"/>
      <c r="U19" s="27"/>
      <c r="V19" s="11"/>
      <c r="W19" s="27">
        <v>1800000</v>
      </c>
      <c r="X19" s="27">
        <v>68</v>
      </c>
      <c r="Y19" s="11">
        <v>13000</v>
      </c>
      <c r="Z19" s="27"/>
      <c r="AA19" s="27"/>
      <c r="AB19" s="11"/>
      <c r="AC19" s="27"/>
      <c r="AD19" s="27"/>
      <c r="AE19" s="11"/>
      <c r="AF19" s="27"/>
      <c r="AG19" s="27"/>
      <c r="AH19" s="11"/>
      <c r="AI19" s="27"/>
      <c r="AJ19" s="27"/>
      <c r="AK19" s="11"/>
      <c r="AL19" s="27">
        <v>1800000</v>
      </c>
      <c r="AM19" s="27">
        <v>68</v>
      </c>
      <c r="AN19" s="11">
        <v>13000</v>
      </c>
    </row>
    <row r="20" spans="1:40" x14ac:dyDescent="0.45">
      <c r="A20" s="7">
        <v>1040000</v>
      </c>
      <c r="B20" s="27"/>
      <c r="C20" s="27"/>
      <c r="D20" s="11"/>
      <c r="E20" s="27"/>
      <c r="F20" s="27"/>
      <c r="G20" s="11"/>
      <c r="H20" s="27"/>
      <c r="I20" s="27"/>
      <c r="J20" s="11"/>
      <c r="K20" s="27"/>
      <c r="L20" s="27"/>
      <c r="M20" s="11"/>
      <c r="N20" s="27"/>
      <c r="O20" s="27"/>
      <c r="P20" s="11"/>
      <c r="Q20" s="27"/>
      <c r="R20" s="27"/>
      <c r="S20" s="11"/>
      <c r="T20" s="27"/>
      <c r="U20" s="27"/>
      <c r="V20" s="11"/>
      <c r="W20" s="27"/>
      <c r="X20" s="27"/>
      <c r="Y20" s="11"/>
      <c r="Z20" s="27"/>
      <c r="AA20" s="27"/>
      <c r="AB20" s="11"/>
      <c r="AC20" s="27"/>
      <c r="AD20" s="27"/>
      <c r="AE20" s="11"/>
      <c r="AF20" s="27"/>
      <c r="AG20" s="27"/>
      <c r="AH20" s="11"/>
      <c r="AI20" s="27">
        <v>1440000</v>
      </c>
      <c r="AJ20" s="27">
        <v>50</v>
      </c>
      <c r="AK20" s="11">
        <v>20800</v>
      </c>
      <c r="AL20" s="27">
        <v>1440000</v>
      </c>
      <c r="AM20" s="27">
        <v>50</v>
      </c>
      <c r="AN20" s="11">
        <v>20800</v>
      </c>
    </row>
    <row r="21" spans="1:40" x14ac:dyDescent="0.45">
      <c r="A21" s="28">
        <v>30</v>
      </c>
      <c r="B21" s="27"/>
      <c r="C21" s="27"/>
      <c r="D21" s="11"/>
      <c r="E21" s="27"/>
      <c r="F21" s="27"/>
      <c r="G21" s="11"/>
      <c r="H21" s="27"/>
      <c r="I21" s="27"/>
      <c r="J21" s="11"/>
      <c r="K21" s="27"/>
      <c r="L21" s="27"/>
      <c r="M21" s="11"/>
      <c r="N21" s="27"/>
      <c r="O21" s="27"/>
      <c r="P21" s="11"/>
      <c r="Q21" s="27"/>
      <c r="R21" s="27"/>
      <c r="S21" s="11"/>
      <c r="T21" s="27"/>
      <c r="U21" s="27"/>
      <c r="V21" s="11"/>
      <c r="W21" s="27"/>
      <c r="X21" s="27"/>
      <c r="Y21" s="11"/>
      <c r="Z21" s="27"/>
      <c r="AA21" s="27"/>
      <c r="AB21" s="11"/>
      <c r="AC21" s="27"/>
      <c r="AD21" s="27"/>
      <c r="AE21" s="11"/>
      <c r="AF21" s="27"/>
      <c r="AG21" s="27"/>
      <c r="AH21" s="11"/>
      <c r="AI21" s="27">
        <v>1440000</v>
      </c>
      <c r="AJ21" s="27">
        <v>50</v>
      </c>
      <c r="AK21" s="11">
        <v>20800</v>
      </c>
      <c r="AL21" s="27">
        <v>1440000</v>
      </c>
      <c r="AM21" s="27">
        <v>50</v>
      </c>
      <c r="AN21" s="11">
        <v>20800</v>
      </c>
    </row>
    <row r="22" spans="1:40" x14ac:dyDescent="0.45">
      <c r="A22" s="29">
        <v>540000</v>
      </c>
      <c r="B22" s="27"/>
      <c r="C22" s="27"/>
      <c r="D22" s="11"/>
      <c r="E22" s="27"/>
      <c r="F22" s="27"/>
      <c r="G22" s="11"/>
      <c r="H22" s="27"/>
      <c r="I22" s="27"/>
      <c r="J22" s="11"/>
      <c r="K22" s="27"/>
      <c r="L22" s="27"/>
      <c r="M22" s="11"/>
      <c r="N22" s="27"/>
      <c r="O22" s="27"/>
      <c r="P22" s="11"/>
      <c r="Q22" s="27"/>
      <c r="R22" s="27"/>
      <c r="S22" s="11"/>
      <c r="T22" s="27"/>
      <c r="U22" s="27"/>
      <c r="V22" s="11"/>
      <c r="W22" s="27"/>
      <c r="X22" s="27"/>
      <c r="Y22" s="11"/>
      <c r="Z22" s="27"/>
      <c r="AA22" s="27"/>
      <c r="AB22" s="11"/>
      <c r="AC22" s="27"/>
      <c r="AD22" s="27"/>
      <c r="AE22" s="11"/>
      <c r="AF22" s="27"/>
      <c r="AG22" s="27"/>
      <c r="AH22" s="11"/>
      <c r="AI22" s="27">
        <v>1440000</v>
      </c>
      <c r="AJ22" s="27">
        <v>50</v>
      </c>
      <c r="AK22" s="11">
        <v>20800</v>
      </c>
      <c r="AL22" s="27">
        <v>1440000</v>
      </c>
      <c r="AM22" s="27">
        <v>50</v>
      </c>
      <c r="AN22" s="11">
        <v>20800</v>
      </c>
    </row>
    <row r="23" spans="1:40" x14ac:dyDescent="0.45">
      <c r="A23" s="7">
        <v>2130000</v>
      </c>
      <c r="B23" s="27"/>
      <c r="C23" s="27"/>
      <c r="D23" s="11"/>
      <c r="E23" s="27"/>
      <c r="F23" s="27"/>
      <c r="G23" s="11"/>
      <c r="H23" s="27"/>
      <c r="I23" s="27"/>
      <c r="J23" s="11"/>
      <c r="K23" s="27">
        <v>13380000</v>
      </c>
      <c r="L23" s="27">
        <v>30</v>
      </c>
      <c r="M23" s="11">
        <v>71000</v>
      </c>
      <c r="N23" s="27"/>
      <c r="O23" s="27"/>
      <c r="P23" s="11"/>
      <c r="Q23" s="27"/>
      <c r="R23" s="27"/>
      <c r="S23" s="11"/>
      <c r="T23" s="27"/>
      <c r="U23" s="27"/>
      <c r="V23" s="11"/>
      <c r="W23" s="27"/>
      <c r="X23" s="27"/>
      <c r="Y23" s="11"/>
      <c r="Z23" s="27"/>
      <c r="AA23" s="27"/>
      <c r="AB23" s="11"/>
      <c r="AC23" s="27"/>
      <c r="AD23" s="27"/>
      <c r="AE23" s="11"/>
      <c r="AF23" s="27"/>
      <c r="AG23" s="27"/>
      <c r="AH23" s="11"/>
      <c r="AI23" s="27"/>
      <c r="AJ23" s="27"/>
      <c r="AK23" s="11"/>
      <c r="AL23" s="27">
        <v>13380000</v>
      </c>
      <c r="AM23" s="27">
        <v>30</v>
      </c>
      <c r="AN23" s="11">
        <v>71000</v>
      </c>
    </row>
    <row r="24" spans="1:40" x14ac:dyDescent="0.45">
      <c r="A24" s="28">
        <v>170</v>
      </c>
      <c r="B24" s="27"/>
      <c r="C24" s="27"/>
      <c r="D24" s="11"/>
      <c r="E24" s="27"/>
      <c r="F24" s="27"/>
      <c r="G24" s="11"/>
      <c r="H24" s="27"/>
      <c r="I24" s="27"/>
      <c r="J24" s="11"/>
      <c r="K24" s="27">
        <v>13380000</v>
      </c>
      <c r="L24" s="27">
        <v>30</v>
      </c>
      <c r="M24" s="11">
        <v>71000</v>
      </c>
      <c r="N24" s="27"/>
      <c r="O24" s="27"/>
      <c r="P24" s="11"/>
      <c r="Q24" s="27"/>
      <c r="R24" s="27"/>
      <c r="S24" s="11"/>
      <c r="T24" s="27"/>
      <c r="U24" s="27"/>
      <c r="V24" s="11"/>
      <c r="W24" s="27"/>
      <c r="X24" s="27"/>
      <c r="Y24" s="11"/>
      <c r="Z24" s="27"/>
      <c r="AA24" s="27"/>
      <c r="AB24" s="11"/>
      <c r="AC24" s="27"/>
      <c r="AD24" s="27"/>
      <c r="AE24" s="11"/>
      <c r="AF24" s="27"/>
      <c r="AG24" s="27"/>
      <c r="AH24" s="11"/>
      <c r="AI24" s="27"/>
      <c r="AJ24" s="27"/>
      <c r="AK24" s="11"/>
      <c r="AL24" s="27">
        <v>13380000</v>
      </c>
      <c r="AM24" s="27">
        <v>30</v>
      </c>
      <c r="AN24" s="11">
        <v>71000</v>
      </c>
    </row>
    <row r="25" spans="1:40" x14ac:dyDescent="0.45">
      <c r="A25" s="29">
        <v>11373000</v>
      </c>
      <c r="B25" s="27"/>
      <c r="C25" s="27"/>
      <c r="D25" s="11"/>
      <c r="E25" s="27"/>
      <c r="F25" s="27"/>
      <c r="G25" s="11"/>
      <c r="H25" s="27"/>
      <c r="I25" s="27"/>
      <c r="J25" s="11"/>
      <c r="K25" s="27">
        <v>13380000</v>
      </c>
      <c r="L25" s="27">
        <v>30</v>
      </c>
      <c r="M25" s="11">
        <v>71000</v>
      </c>
      <c r="N25" s="27"/>
      <c r="O25" s="27"/>
      <c r="P25" s="11"/>
      <c r="Q25" s="27"/>
      <c r="R25" s="27"/>
      <c r="S25" s="11"/>
      <c r="T25" s="27"/>
      <c r="U25" s="27"/>
      <c r="V25" s="11"/>
      <c r="W25" s="27"/>
      <c r="X25" s="27"/>
      <c r="Y25" s="11"/>
      <c r="Z25" s="27"/>
      <c r="AA25" s="27"/>
      <c r="AB25" s="11"/>
      <c r="AC25" s="27"/>
      <c r="AD25" s="27"/>
      <c r="AE25" s="11"/>
      <c r="AF25" s="27"/>
      <c r="AG25" s="27"/>
      <c r="AH25" s="11"/>
      <c r="AI25" s="27"/>
      <c r="AJ25" s="27"/>
      <c r="AK25" s="11"/>
      <c r="AL25" s="27">
        <v>13380000</v>
      </c>
      <c r="AM25" s="27">
        <v>30</v>
      </c>
      <c r="AN25" s="11">
        <v>71000</v>
      </c>
    </row>
    <row r="26" spans="1:40" x14ac:dyDescent="0.45">
      <c r="A26" s="7">
        <v>3000000</v>
      </c>
      <c r="B26" s="27">
        <v>5650000</v>
      </c>
      <c r="C26" s="27">
        <v>50</v>
      </c>
      <c r="D26" s="11">
        <v>60000</v>
      </c>
      <c r="E26" s="27"/>
      <c r="F26" s="27"/>
      <c r="G26" s="11"/>
      <c r="H26" s="27"/>
      <c r="I26" s="27"/>
      <c r="J26" s="11"/>
      <c r="K26" s="27"/>
      <c r="L26" s="27"/>
      <c r="M26" s="11"/>
      <c r="N26" s="27"/>
      <c r="O26" s="27"/>
      <c r="P26" s="11"/>
      <c r="Q26" s="27"/>
      <c r="R26" s="27"/>
      <c r="S26" s="11"/>
      <c r="T26" s="27"/>
      <c r="U26" s="27"/>
      <c r="V26" s="11"/>
      <c r="W26" s="27"/>
      <c r="X26" s="27"/>
      <c r="Y26" s="11"/>
      <c r="Z26" s="27"/>
      <c r="AA26" s="27"/>
      <c r="AB26" s="11"/>
      <c r="AC26" s="27"/>
      <c r="AD26" s="27"/>
      <c r="AE26" s="11"/>
      <c r="AF26" s="27"/>
      <c r="AG26" s="27"/>
      <c r="AH26" s="11"/>
      <c r="AI26" s="27"/>
      <c r="AJ26" s="27"/>
      <c r="AK26" s="11"/>
      <c r="AL26" s="27">
        <v>5650000</v>
      </c>
      <c r="AM26" s="27">
        <v>50</v>
      </c>
      <c r="AN26" s="11">
        <v>60000</v>
      </c>
    </row>
    <row r="27" spans="1:40" x14ac:dyDescent="0.45">
      <c r="A27" s="28">
        <v>50</v>
      </c>
      <c r="B27" s="27">
        <v>5650000</v>
      </c>
      <c r="C27" s="27">
        <v>50</v>
      </c>
      <c r="D27" s="11">
        <v>60000</v>
      </c>
      <c r="E27" s="27"/>
      <c r="F27" s="27"/>
      <c r="G27" s="11"/>
      <c r="H27" s="27"/>
      <c r="I27" s="27"/>
      <c r="J27" s="11"/>
      <c r="K27" s="27"/>
      <c r="L27" s="27"/>
      <c r="M27" s="11"/>
      <c r="N27" s="27"/>
      <c r="O27" s="27"/>
      <c r="P27" s="11"/>
      <c r="Q27" s="27"/>
      <c r="R27" s="27"/>
      <c r="S27" s="11"/>
      <c r="T27" s="27"/>
      <c r="U27" s="27"/>
      <c r="V27" s="11"/>
      <c r="W27" s="27"/>
      <c r="X27" s="27"/>
      <c r="Y27" s="11"/>
      <c r="Z27" s="27"/>
      <c r="AA27" s="27"/>
      <c r="AB27" s="11"/>
      <c r="AC27" s="27"/>
      <c r="AD27" s="27"/>
      <c r="AE27" s="11"/>
      <c r="AF27" s="27"/>
      <c r="AG27" s="27"/>
      <c r="AH27" s="11"/>
      <c r="AI27" s="27"/>
      <c r="AJ27" s="27"/>
      <c r="AK27" s="11"/>
      <c r="AL27" s="27">
        <v>5650000</v>
      </c>
      <c r="AM27" s="27">
        <v>50</v>
      </c>
      <c r="AN27" s="11">
        <v>60000</v>
      </c>
    </row>
    <row r="28" spans="1:40" x14ac:dyDescent="0.45">
      <c r="A28" s="29">
        <v>2825000</v>
      </c>
      <c r="B28" s="27">
        <v>5650000</v>
      </c>
      <c r="C28" s="27">
        <v>50</v>
      </c>
      <c r="D28" s="11">
        <v>60000</v>
      </c>
      <c r="E28" s="27"/>
      <c r="F28" s="27"/>
      <c r="G28" s="11"/>
      <c r="H28" s="27"/>
      <c r="I28" s="27"/>
      <c r="J28" s="11"/>
      <c r="K28" s="27"/>
      <c r="L28" s="27"/>
      <c r="M28" s="11"/>
      <c r="N28" s="27"/>
      <c r="O28" s="27"/>
      <c r="P28" s="11"/>
      <c r="Q28" s="27"/>
      <c r="R28" s="27"/>
      <c r="S28" s="11"/>
      <c r="T28" s="27"/>
      <c r="U28" s="27"/>
      <c r="V28" s="11"/>
      <c r="W28" s="27"/>
      <c r="X28" s="27"/>
      <c r="Y28" s="11"/>
      <c r="Z28" s="27"/>
      <c r="AA28" s="27"/>
      <c r="AB28" s="11"/>
      <c r="AC28" s="27"/>
      <c r="AD28" s="27"/>
      <c r="AE28" s="11"/>
      <c r="AF28" s="27"/>
      <c r="AG28" s="27"/>
      <c r="AH28" s="11"/>
      <c r="AI28" s="27"/>
      <c r="AJ28" s="27"/>
      <c r="AK28" s="11"/>
      <c r="AL28" s="27">
        <v>5650000</v>
      </c>
      <c r="AM28" s="27">
        <v>50</v>
      </c>
      <c r="AN28" s="11">
        <v>60000</v>
      </c>
    </row>
    <row r="29" spans="1:40" x14ac:dyDescent="0.45">
      <c r="A29" s="7">
        <v>6400000</v>
      </c>
      <c r="B29" s="27"/>
      <c r="C29" s="27"/>
      <c r="D29" s="11"/>
      <c r="E29" s="27"/>
      <c r="F29" s="27"/>
      <c r="G29" s="11"/>
      <c r="H29" s="27"/>
      <c r="I29" s="27"/>
      <c r="J29" s="11"/>
      <c r="K29" s="27"/>
      <c r="L29" s="27"/>
      <c r="M29" s="11"/>
      <c r="N29" s="27"/>
      <c r="O29" s="27"/>
      <c r="P29" s="11"/>
      <c r="Q29" s="27"/>
      <c r="R29" s="27"/>
      <c r="S29" s="11"/>
      <c r="T29" s="27"/>
      <c r="U29" s="27"/>
      <c r="V29" s="11"/>
      <c r="W29" s="27"/>
      <c r="X29" s="27"/>
      <c r="Y29" s="11"/>
      <c r="Z29" s="27"/>
      <c r="AA29" s="27"/>
      <c r="AB29" s="11"/>
      <c r="AC29" s="27">
        <v>7425000</v>
      </c>
      <c r="AD29" s="27">
        <v>320</v>
      </c>
      <c r="AE29" s="11">
        <v>20000</v>
      </c>
      <c r="AF29" s="27"/>
      <c r="AG29" s="27"/>
      <c r="AH29" s="11"/>
      <c r="AI29" s="27"/>
      <c r="AJ29" s="27"/>
      <c r="AK29" s="11"/>
      <c r="AL29" s="27">
        <v>7425000</v>
      </c>
      <c r="AM29" s="27">
        <v>320</v>
      </c>
      <c r="AN29" s="11">
        <v>20000</v>
      </c>
    </row>
    <row r="30" spans="1:40" x14ac:dyDescent="0.45">
      <c r="A30" s="28">
        <v>130</v>
      </c>
      <c r="B30" s="27"/>
      <c r="C30" s="27"/>
      <c r="D30" s="11"/>
      <c r="E30" s="27"/>
      <c r="F30" s="27"/>
      <c r="G30" s="11"/>
      <c r="H30" s="27"/>
      <c r="I30" s="27"/>
      <c r="J30" s="11"/>
      <c r="K30" s="27"/>
      <c r="L30" s="27"/>
      <c r="M30" s="11"/>
      <c r="N30" s="27"/>
      <c r="O30" s="27"/>
      <c r="P30" s="11"/>
      <c r="Q30" s="27"/>
      <c r="R30" s="27"/>
      <c r="S30" s="11"/>
      <c r="T30" s="27"/>
      <c r="U30" s="27"/>
      <c r="V30" s="11"/>
      <c r="W30" s="27"/>
      <c r="X30" s="27"/>
      <c r="Y30" s="11"/>
      <c r="Z30" s="27"/>
      <c r="AA30" s="27"/>
      <c r="AB30" s="11"/>
      <c r="AC30" s="27">
        <v>7425000</v>
      </c>
      <c r="AD30" s="27">
        <v>320</v>
      </c>
      <c r="AE30" s="11">
        <v>20000</v>
      </c>
      <c r="AF30" s="27"/>
      <c r="AG30" s="27"/>
      <c r="AH30" s="11"/>
      <c r="AI30" s="27"/>
      <c r="AJ30" s="27"/>
      <c r="AK30" s="11"/>
      <c r="AL30" s="27">
        <v>7425000</v>
      </c>
      <c r="AM30" s="27">
        <v>320</v>
      </c>
      <c r="AN30" s="11">
        <v>20000</v>
      </c>
    </row>
    <row r="31" spans="1:40" x14ac:dyDescent="0.45">
      <c r="A31" s="29">
        <v>2145000</v>
      </c>
      <c r="B31" s="27"/>
      <c r="C31" s="27"/>
      <c r="D31" s="11"/>
      <c r="E31" s="27"/>
      <c r="F31" s="27"/>
      <c r="G31" s="11"/>
      <c r="H31" s="27"/>
      <c r="I31" s="27"/>
      <c r="J31" s="11"/>
      <c r="K31" s="27"/>
      <c r="L31" s="27"/>
      <c r="M31" s="11"/>
      <c r="N31" s="27"/>
      <c r="O31" s="27"/>
      <c r="P31" s="11"/>
      <c r="Q31" s="27"/>
      <c r="R31" s="27"/>
      <c r="S31" s="11"/>
      <c r="T31" s="27"/>
      <c r="U31" s="27"/>
      <c r="V31" s="11"/>
      <c r="W31" s="27"/>
      <c r="X31" s="27"/>
      <c r="Y31" s="11"/>
      <c r="Z31" s="27"/>
      <c r="AA31" s="27"/>
      <c r="AB31" s="11"/>
      <c r="AC31" s="27">
        <v>7425000</v>
      </c>
      <c r="AD31" s="27">
        <v>320</v>
      </c>
      <c r="AE31" s="11">
        <v>20000</v>
      </c>
      <c r="AF31" s="27"/>
      <c r="AG31" s="27"/>
      <c r="AH31" s="11"/>
      <c r="AI31" s="27"/>
      <c r="AJ31" s="27"/>
      <c r="AK31" s="11"/>
      <c r="AL31" s="27">
        <v>7425000</v>
      </c>
      <c r="AM31" s="27">
        <v>320</v>
      </c>
      <c r="AN31" s="11">
        <v>20000</v>
      </c>
    </row>
    <row r="32" spans="1:40" x14ac:dyDescent="0.45">
      <c r="A32" s="7">
        <v>7500000</v>
      </c>
      <c r="B32" s="27"/>
      <c r="C32" s="27"/>
      <c r="D32" s="11"/>
      <c r="E32" s="27"/>
      <c r="F32" s="27"/>
      <c r="G32" s="11"/>
      <c r="H32" s="27"/>
      <c r="I32" s="27"/>
      <c r="J32" s="11"/>
      <c r="K32" s="27"/>
      <c r="L32" s="27"/>
      <c r="M32" s="11"/>
      <c r="N32" s="27"/>
      <c r="O32" s="27"/>
      <c r="P32" s="11"/>
      <c r="Q32" s="27"/>
      <c r="R32" s="27"/>
      <c r="S32" s="11"/>
      <c r="T32" s="27"/>
      <c r="U32" s="27"/>
      <c r="V32" s="11"/>
      <c r="W32" s="27"/>
      <c r="X32" s="27"/>
      <c r="Y32" s="11"/>
      <c r="Z32" s="27"/>
      <c r="AA32" s="27"/>
      <c r="AB32" s="11"/>
      <c r="AC32" s="27"/>
      <c r="AD32" s="27"/>
      <c r="AE32" s="11"/>
      <c r="AF32" s="27"/>
      <c r="AG32" s="27"/>
      <c r="AH32" s="11"/>
      <c r="AI32" s="27">
        <v>7296000</v>
      </c>
      <c r="AJ32" s="27">
        <v>300</v>
      </c>
      <c r="AK32" s="11">
        <v>25000</v>
      </c>
      <c r="AL32" s="27">
        <v>7296000</v>
      </c>
      <c r="AM32" s="27">
        <v>300</v>
      </c>
      <c r="AN32" s="11">
        <v>25000</v>
      </c>
    </row>
    <row r="33" spans="1:40" x14ac:dyDescent="0.45">
      <c r="A33" s="28">
        <v>20</v>
      </c>
      <c r="B33" s="27"/>
      <c r="C33" s="27"/>
      <c r="D33" s="11"/>
      <c r="E33" s="27"/>
      <c r="F33" s="27"/>
      <c r="G33" s="11"/>
      <c r="H33" s="27"/>
      <c r="I33" s="27"/>
      <c r="J33" s="11"/>
      <c r="K33" s="27"/>
      <c r="L33" s="27"/>
      <c r="M33" s="11"/>
      <c r="N33" s="27"/>
      <c r="O33" s="27"/>
      <c r="P33" s="11"/>
      <c r="Q33" s="27"/>
      <c r="R33" s="27"/>
      <c r="S33" s="11"/>
      <c r="T33" s="27"/>
      <c r="U33" s="27"/>
      <c r="V33" s="11"/>
      <c r="W33" s="27"/>
      <c r="X33" s="27"/>
      <c r="Y33" s="11"/>
      <c r="Z33" s="27"/>
      <c r="AA33" s="27"/>
      <c r="AB33" s="11"/>
      <c r="AC33" s="27"/>
      <c r="AD33" s="27"/>
      <c r="AE33" s="11"/>
      <c r="AF33" s="27"/>
      <c r="AG33" s="27"/>
      <c r="AH33" s="11"/>
      <c r="AI33" s="27">
        <v>7296000</v>
      </c>
      <c r="AJ33" s="27">
        <v>300</v>
      </c>
      <c r="AK33" s="11">
        <v>25000</v>
      </c>
      <c r="AL33" s="27">
        <v>7296000</v>
      </c>
      <c r="AM33" s="27">
        <v>300</v>
      </c>
      <c r="AN33" s="11">
        <v>25000</v>
      </c>
    </row>
    <row r="34" spans="1:40" x14ac:dyDescent="0.45">
      <c r="A34" s="29">
        <v>456000</v>
      </c>
      <c r="B34" s="27"/>
      <c r="C34" s="27"/>
      <c r="D34" s="11"/>
      <c r="E34" s="27"/>
      <c r="F34" s="27"/>
      <c r="G34" s="11"/>
      <c r="H34" s="27"/>
      <c r="I34" s="27"/>
      <c r="J34" s="11"/>
      <c r="K34" s="27"/>
      <c r="L34" s="27"/>
      <c r="M34" s="11"/>
      <c r="N34" s="27"/>
      <c r="O34" s="27"/>
      <c r="P34" s="11"/>
      <c r="Q34" s="27"/>
      <c r="R34" s="27"/>
      <c r="S34" s="11"/>
      <c r="T34" s="27"/>
      <c r="U34" s="27"/>
      <c r="V34" s="11"/>
      <c r="W34" s="27"/>
      <c r="X34" s="27"/>
      <c r="Y34" s="11"/>
      <c r="Z34" s="27"/>
      <c r="AA34" s="27"/>
      <c r="AB34" s="11"/>
      <c r="AC34" s="27"/>
      <c r="AD34" s="27"/>
      <c r="AE34" s="11"/>
      <c r="AF34" s="27"/>
      <c r="AG34" s="27"/>
      <c r="AH34" s="11"/>
      <c r="AI34" s="27">
        <v>7296000</v>
      </c>
      <c r="AJ34" s="27">
        <v>300</v>
      </c>
      <c r="AK34" s="11">
        <v>25000</v>
      </c>
      <c r="AL34" s="27">
        <v>7296000</v>
      </c>
      <c r="AM34" s="27">
        <v>300</v>
      </c>
      <c r="AN34" s="11">
        <v>25000</v>
      </c>
    </row>
    <row r="35" spans="1:40" x14ac:dyDescent="0.45">
      <c r="A35" s="7">
        <v>10460400</v>
      </c>
      <c r="B35" s="27"/>
      <c r="C35" s="27"/>
      <c r="D35" s="11"/>
      <c r="E35" s="27"/>
      <c r="F35" s="27"/>
      <c r="G35" s="11"/>
      <c r="H35" s="27"/>
      <c r="I35" s="27"/>
      <c r="J35" s="11"/>
      <c r="K35" s="27"/>
      <c r="L35" s="27"/>
      <c r="M35" s="11"/>
      <c r="N35" s="27"/>
      <c r="O35" s="27"/>
      <c r="P35" s="11"/>
      <c r="Q35" s="27"/>
      <c r="R35" s="27"/>
      <c r="S35" s="11"/>
      <c r="T35" s="27"/>
      <c r="U35" s="27"/>
      <c r="V35" s="11"/>
      <c r="W35" s="27"/>
      <c r="X35" s="27"/>
      <c r="Y35" s="11"/>
      <c r="Z35" s="27"/>
      <c r="AA35" s="27"/>
      <c r="AB35" s="11"/>
      <c r="AC35" s="27"/>
      <c r="AD35" s="27"/>
      <c r="AE35" s="11"/>
      <c r="AF35" s="27">
        <v>12249650</v>
      </c>
      <c r="AG35" s="27">
        <v>276</v>
      </c>
      <c r="AH35" s="11">
        <v>37900</v>
      </c>
      <c r="AI35" s="27"/>
      <c r="AJ35" s="27"/>
      <c r="AK35" s="11"/>
      <c r="AL35" s="27">
        <v>12249650</v>
      </c>
      <c r="AM35" s="27">
        <v>276</v>
      </c>
      <c r="AN35" s="11">
        <v>37900</v>
      </c>
    </row>
    <row r="36" spans="1:40" x14ac:dyDescent="0.45">
      <c r="A36" s="28">
        <v>74</v>
      </c>
      <c r="B36" s="27"/>
      <c r="C36" s="27"/>
      <c r="D36" s="11"/>
      <c r="E36" s="27"/>
      <c r="F36" s="27"/>
      <c r="G36" s="11"/>
      <c r="H36" s="27"/>
      <c r="I36" s="27"/>
      <c r="J36" s="11"/>
      <c r="K36" s="27"/>
      <c r="L36" s="27"/>
      <c r="M36" s="11"/>
      <c r="N36" s="27"/>
      <c r="O36" s="27"/>
      <c r="P36" s="11"/>
      <c r="Q36" s="27"/>
      <c r="R36" s="27"/>
      <c r="S36" s="11"/>
      <c r="T36" s="27"/>
      <c r="U36" s="27"/>
      <c r="V36" s="11"/>
      <c r="W36" s="27"/>
      <c r="X36" s="27"/>
      <c r="Y36" s="11"/>
      <c r="Z36" s="27"/>
      <c r="AA36" s="27"/>
      <c r="AB36" s="11"/>
      <c r="AC36" s="27"/>
      <c r="AD36" s="27"/>
      <c r="AE36" s="11"/>
      <c r="AF36" s="27">
        <v>12249650</v>
      </c>
      <c r="AG36" s="27">
        <v>276</v>
      </c>
      <c r="AH36" s="11">
        <v>37900</v>
      </c>
      <c r="AI36" s="27"/>
      <c r="AJ36" s="27"/>
      <c r="AK36" s="11"/>
      <c r="AL36" s="27">
        <v>12249650</v>
      </c>
      <c r="AM36" s="27">
        <v>276</v>
      </c>
      <c r="AN36" s="11">
        <v>37900</v>
      </c>
    </row>
    <row r="37" spans="1:40" x14ac:dyDescent="0.45">
      <c r="A37" s="29">
        <v>2589926</v>
      </c>
      <c r="B37" s="27"/>
      <c r="C37" s="27"/>
      <c r="D37" s="11"/>
      <c r="E37" s="27"/>
      <c r="F37" s="27"/>
      <c r="G37" s="11"/>
      <c r="H37" s="27"/>
      <c r="I37" s="27"/>
      <c r="J37" s="11"/>
      <c r="K37" s="27"/>
      <c r="L37" s="27"/>
      <c r="M37" s="11"/>
      <c r="N37" s="27"/>
      <c r="O37" s="27"/>
      <c r="P37" s="11"/>
      <c r="Q37" s="27"/>
      <c r="R37" s="27"/>
      <c r="S37" s="11"/>
      <c r="T37" s="27"/>
      <c r="U37" s="27"/>
      <c r="V37" s="11"/>
      <c r="W37" s="27"/>
      <c r="X37" s="27"/>
      <c r="Y37" s="11"/>
      <c r="Z37" s="27"/>
      <c r="AA37" s="27"/>
      <c r="AB37" s="11"/>
      <c r="AC37" s="27"/>
      <c r="AD37" s="27"/>
      <c r="AE37" s="11"/>
      <c r="AF37" s="27">
        <v>12249650</v>
      </c>
      <c r="AG37" s="27">
        <v>276</v>
      </c>
      <c r="AH37" s="11">
        <v>37900</v>
      </c>
      <c r="AI37" s="27"/>
      <c r="AJ37" s="27"/>
      <c r="AK37" s="11"/>
      <c r="AL37" s="27">
        <v>12249650</v>
      </c>
      <c r="AM37" s="27">
        <v>276</v>
      </c>
      <c r="AN37" s="11">
        <v>37900</v>
      </c>
    </row>
    <row r="38" spans="1:40" x14ac:dyDescent="0.45">
      <c r="A38" s="7">
        <v>11149777</v>
      </c>
      <c r="B38" s="27"/>
      <c r="C38" s="27"/>
      <c r="D38" s="11"/>
      <c r="E38" s="27"/>
      <c r="F38" s="27"/>
      <c r="G38" s="11"/>
      <c r="H38" s="27"/>
      <c r="I38" s="27"/>
      <c r="J38" s="11"/>
      <c r="K38" s="27"/>
      <c r="L38" s="27"/>
      <c r="M38" s="11"/>
      <c r="N38" s="27"/>
      <c r="O38" s="27"/>
      <c r="P38" s="11"/>
      <c r="Q38" s="27"/>
      <c r="R38" s="27"/>
      <c r="S38" s="11"/>
      <c r="T38" s="27"/>
      <c r="U38" s="27"/>
      <c r="V38" s="11"/>
      <c r="W38" s="27"/>
      <c r="X38" s="27"/>
      <c r="Y38" s="11"/>
      <c r="Z38" s="27"/>
      <c r="AA38" s="27"/>
      <c r="AB38" s="11"/>
      <c r="AC38" s="27"/>
      <c r="AD38" s="27"/>
      <c r="AE38" s="11"/>
      <c r="AF38" s="27"/>
      <c r="AG38" s="27"/>
      <c r="AH38" s="11"/>
      <c r="AI38" s="27">
        <v>10750000</v>
      </c>
      <c r="AJ38" s="27">
        <v>223</v>
      </c>
      <c r="AK38" s="11">
        <v>49999</v>
      </c>
      <c r="AL38" s="27">
        <v>10750000</v>
      </c>
      <c r="AM38" s="27">
        <v>223</v>
      </c>
      <c r="AN38" s="11">
        <v>49999</v>
      </c>
    </row>
    <row r="39" spans="1:40" x14ac:dyDescent="0.45">
      <c r="A39" s="28">
        <v>27</v>
      </c>
      <c r="B39" s="27"/>
      <c r="C39" s="27"/>
      <c r="D39" s="11"/>
      <c r="E39" s="27"/>
      <c r="F39" s="27"/>
      <c r="G39" s="11"/>
      <c r="H39" s="27"/>
      <c r="I39" s="27"/>
      <c r="J39" s="11"/>
      <c r="K39" s="27"/>
      <c r="L39" s="27"/>
      <c r="M39" s="11"/>
      <c r="N39" s="27"/>
      <c r="O39" s="27"/>
      <c r="P39" s="11"/>
      <c r="Q39" s="27"/>
      <c r="R39" s="27"/>
      <c r="S39" s="11"/>
      <c r="T39" s="27"/>
      <c r="U39" s="27"/>
      <c r="V39" s="11"/>
      <c r="W39" s="27"/>
      <c r="X39" s="27"/>
      <c r="Y39" s="11"/>
      <c r="Z39" s="27"/>
      <c r="AA39" s="27"/>
      <c r="AB39" s="11"/>
      <c r="AC39" s="27"/>
      <c r="AD39" s="27"/>
      <c r="AE39" s="11"/>
      <c r="AF39" s="27"/>
      <c r="AG39" s="27"/>
      <c r="AH39" s="11"/>
      <c r="AI39" s="27">
        <v>10750000</v>
      </c>
      <c r="AJ39" s="27">
        <v>223</v>
      </c>
      <c r="AK39" s="11">
        <v>49999</v>
      </c>
      <c r="AL39" s="27">
        <v>10750000</v>
      </c>
      <c r="AM39" s="27">
        <v>223</v>
      </c>
      <c r="AN39" s="11">
        <v>49999</v>
      </c>
    </row>
    <row r="40" spans="1:40" x14ac:dyDescent="0.45">
      <c r="A40" s="29">
        <v>1161000</v>
      </c>
      <c r="B40" s="27"/>
      <c r="C40" s="27"/>
      <c r="D40" s="11"/>
      <c r="E40" s="27"/>
      <c r="F40" s="27"/>
      <c r="G40" s="11"/>
      <c r="H40" s="27"/>
      <c r="I40" s="27"/>
      <c r="J40" s="11"/>
      <c r="K40" s="27"/>
      <c r="L40" s="27"/>
      <c r="M40" s="11"/>
      <c r="N40" s="27"/>
      <c r="O40" s="27"/>
      <c r="P40" s="11"/>
      <c r="Q40" s="27"/>
      <c r="R40" s="27"/>
      <c r="S40" s="11"/>
      <c r="T40" s="27"/>
      <c r="U40" s="27"/>
      <c r="V40" s="11"/>
      <c r="W40" s="27"/>
      <c r="X40" s="27"/>
      <c r="Y40" s="11"/>
      <c r="Z40" s="27"/>
      <c r="AA40" s="27"/>
      <c r="AB40" s="11"/>
      <c r="AC40" s="27"/>
      <c r="AD40" s="27"/>
      <c r="AE40" s="11"/>
      <c r="AF40" s="27"/>
      <c r="AG40" s="27"/>
      <c r="AH40" s="11"/>
      <c r="AI40" s="27">
        <v>10750000</v>
      </c>
      <c r="AJ40" s="27">
        <v>223</v>
      </c>
      <c r="AK40" s="11">
        <v>49999</v>
      </c>
      <c r="AL40" s="27">
        <v>10750000</v>
      </c>
      <c r="AM40" s="27">
        <v>223</v>
      </c>
      <c r="AN40" s="11">
        <v>49999</v>
      </c>
    </row>
    <row r="41" spans="1:40" x14ac:dyDescent="0.45">
      <c r="A41" s="7">
        <v>12000000</v>
      </c>
      <c r="B41" s="27"/>
      <c r="C41" s="27"/>
      <c r="D41" s="11"/>
      <c r="E41" s="27">
        <v>17999500</v>
      </c>
      <c r="F41" s="27">
        <v>300</v>
      </c>
      <c r="G41" s="11">
        <v>40000</v>
      </c>
      <c r="H41" s="27"/>
      <c r="I41" s="27"/>
      <c r="J41" s="11"/>
      <c r="K41" s="27"/>
      <c r="L41" s="27"/>
      <c r="M41" s="11"/>
      <c r="N41" s="27"/>
      <c r="O41" s="27"/>
      <c r="P41" s="11"/>
      <c r="Q41" s="27"/>
      <c r="R41" s="27"/>
      <c r="S41" s="11"/>
      <c r="T41" s="27"/>
      <c r="U41" s="27"/>
      <c r="V41" s="11"/>
      <c r="W41" s="27"/>
      <c r="X41" s="27"/>
      <c r="Y41" s="11"/>
      <c r="Z41" s="27"/>
      <c r="AA41" s="27"/>
      <c r="AB41" s="11"/>
      <c r="AC41" s="27"/>
      <c r="AD41" s="27"/>
      <c r="AE41" s="11"/>
      <c r="AF41" s="27"/>
      <c r="AG41" s="27"/>
      <c r="AH41" s="11"/>
      <c r="AI41" s="27"/>
      <c r="AJ41" s="27"/>
      <c r="AK41" s="11"/>
      <c r="AL41" s="27">
        <v>17999500</v>
      </c>
      <c r="AM41" s="27">
        <v>300</v>
      </c>
      <c r="AN41" s="11">
        <v>40000</v>
      </c>
    </row>
    <row r="42" spans="1:40" x14ac:dyDescent="0.45">
      <c r="A42" s="28">
        <v>200</v>
      </c>
      <c r="B42" s="27"/>
      <c r="C42" s="27"/>
      <c r="D42" s="11"/>
      <c r="E42" s="27">
        <v>17999500</v>
      </c>
      <c r="F42" s="27">
        <v>300</v>
      </c>
      <c r="G42" s="11">
        <v>40000</v>
      </c>
      <c r="H42" s="27"/>
      <c r="I42" s="27"/>
      <c r="J42" s="11"/>
      <c r="K42" s="27"/>
      <c r="L42" s="27"/>
      <c r="M42" s="11"/>
      <c r="N42" s="27"/>
      <c r="O42" s="27"/>
      <c r="P42" s="11"/>
      <c r="Q42" s="27"/>
      <c r="R42" s="27"/>
      <c r="S42" s="11"/>
      <c r="T42" s="27"/>
      <c r="U42" s="27"/>
      <c r="V42" s="11"/>
      <c r="W42" s="27"/>
      <c r="X42" s="27"/>
      <c r="Y42" s="11"/>
      <c r="Z42" s="27"/>
      <c r="AA42" s="27"/>
      <c r="AB42" s="11"/>
      <c r="AC42" s="27"/>
      <c r="AD42" s="27"/>
      <c r="AE42" s="11"/>
      <c r="AF42" s="27"/>
      <c r="AG42" s="27"/>
      <c r="AH42" s="11"/>
      <c r="AI42" s="27"/>
      <c r="AJ42" s="27"/>
      <c r="AK42" s="11"/>
      <c r="AL42" s="27">
        <v>17999500</v>
      </c>
      <c r="AM42" s="27">
        <v>300</v>
      </c>
      <c r="AN42" s="11">
        <v>40000</v>
      </c>
    </row>
    <row r="43" spans="1:40" x14ac:dyDescent="0.45">
      <c r="A43" s="29">
        <v>7199800</v>
      </c>
      <c r="B43" s="27"/>
      <c r="C43" s="27"/>
      <c r="D43" s="11"/>
      <c r="E43" s="27">
        <v>17999500</v>
      </c>
      <c r="F43" s="27">
        <v>300</v>
      </c>
      <c r="G43" s="11">
        <v>40000</v>
      </c>
      <c r="H43" s="27"/>
      <c r="I43" s="27"/>
      <c r="J43" s="11"/>
      <c r="K43" s="27"/>
      <c r="L43" s="27"/>
      <c r="M43" s="11"/>
      <c r="N43" s="27"/>
      <c r="O43" s="27"/>
      <c r="P43" s="11"/>
      <c r="Q43" s="27"/>
      <c r="R43" s="27"/>
      <c r="S43" s="11"/>
      <c r="T43" s="27"/>
      <c r="U43" s="27"/>
      <c r="V43" s="11"/>
      <c r="W43" s="27"/>
      <c r="X43" s="27"/>
      <c r="Y43" s="11"/>
      <c r="Z43" s="27"/>
      <c r="AA43" s="27"/>
      <c r="AB43" s="11"/>
      <c r="AC43" s="27"/>
      <c r="AD43" s="27"/>
      <c r="AE43" s="11"/>
      <c r="AF43" s="27"/>
      <c r="AG43" s="27"/>
      <c r="AH43" s="11"/>
      <c r="AI43" s="27"/>
      <c r="AJ43" s="27"/>
      <c r="AK43" s="11"/>
      <c r="AL43" s="27">
        <v>17999500</v>
      </c>
      <c r="AM43" s="27">
        <v>300</v>
      </c>
      <c r="AN43" s="11">
        <v>40000</v>
      </c>
    </row>
    <row r="44" spans="1:40" x14ac:dyDescent="0.45">
      <c r="A44" s="7">
        <v>19227600</v>
      </c>
      <c r="B44" s="27"/>
      <c r="C44" s="27"/>
      <c r="D44" s="11"/>
      <c r="E44" s="27"/>
      <c r="F44" s="27"/>
      <c r="G44" s="11"/>
      <c r="H44" s="27">
        <v>24800000</v>
      </c>
      <c r="I44" s="27">
        <v>280</v>
      </c>
      <c r="J44" s="11">
        <v>68670</v>
      </c>
      <c r="K44" s="27"/>
      <c r="L44" s="27"/>
      <c r="M44" s="11"/>
      <c r="N44" s="27"/>
      <c r="O44" s="27"/>
      <c r="P44" s="11"/>
      <c r="Q44" s="27"/>
      <c r="R44" s="27"/>
      <c r="S44" s="11"/>
      <c r="T44" s="27"/>
      <c r="U44" s="27"/>
      <c r="V44" s="11"/>
      <c r="W44" s="27"/>
      <c r="X44" s="27"/>
      <c r="Y44" s="11"/>
      <c r="Z44" s="27"/>
      <c r="AA44" s="27"/>
      <c r="AB44" s="11"/>
      <c r="AC44" s="27"/>
      <c r="AD44" s="27"/>
      <c r="AE44" s="11"/>
      <c r="AF44" s="27"/>
      <c r="AG44" s="27"/>
      <c r="AH44" s="11"/>
      <c r="AI44" s="27"/>
      <c r="AJ44" s="27"/>
      <c r="AK44" s="11"/>
      <c r="AL44" s="27">
        <v>24800000</v>
      </c>
      <c r="AM44" s="27">
        <v>280</v>
      </c>
      <c r="AN44" s="11">
        <v>68670</v>
      </c>
    </row>
    <row r="45" spans="1:40" x14ac:dyDescent="0.45">
      <c r="A45" s="28">
        <v>120</v>
      </c>
      <c r="B45" s="27"/>
      <c r="C45" s="27"/>
      <c r="D45" s="11"/>
      <c r="E45" s="27"/>
      <c r="F45" s="27"/>
      <c r="G45" s="11"/>
      <c r="H45" s="27">
        <v>24800000</v>
      </c>
      <c r="I45" s="27">
        <v>280</v>
      </c>
      <c r="J45" s="11">
        <v>68670</v>
      </c>
      <c r="K45" s="27"/>
      <c r="L45" s="27"/>
      <c r="M45" s="11"/>
      <c r="N45" s="27"/>
      <c r="O45" s="27"/>
      <c r="P45" s="11"/>
      <c r="Q45" s="27"/>
      <c r="R45" s="27"/>
      <c r="S45" s="11"/>
      <c r="T45" s="27"/>
      <c r="U45" s="27"/>
      <c r="V45" s="11"/>
      <c r="W45" s="27"/>
      <c r="X45" s="27"/>
      <c r="Y45" s="11"/>
      <c r="Z45" s="27"/>
      <c r="AA45" s="27"/>
      <c r="AB45" s="11"/>
      <c r="AC45" s="27"/>
      <c r="AD45" s="27"/>
      <c r="AE45" s="11"/>
      <c r="AF45" s="27"/>
      <c r="AG45" s="27"/>
      <c r="AH45" s="11"/>
      <c r="AI45" s="27"/>
      <c r="AJ45" s="27"/>
      <c r="AK45" s="11"/>
      <c r="AL45" s="27">
        <v>24800000</v>
      </c>
      <c r="AM45" s="27">
        <v>280</v>
      </c>
      <c r="AN45" s="11">
        <v>68670</v>
      </c>
    </row>
    <row r="46" spans="1:40" x14ac:dyDescent="0.45">
      <c r="A46" s="29">
        <v>7440000</v>
      </c>
      <c r="B46" s="27"/>
      <c r="C46" s="27"/>
      <c r="D46" s="11"/>
      <c r="E46" s="27"/>
      <c r="F46" s="27"/>
      <c r="G46" s="11"/>
      <c r="H46" s="27">
        <v>24800000</v>
      </c>
      <c r="I46" s="27">
        <v>280</v>
      </c>
      <c r="J46" s="11">
        <v>68670</v>
      </c>
      <c r="K46" s="27"/>
      <c r="L46" s="27"/>
      <c r="M46" s="11"/>
      <c r="N46" s="27"/>
      <c r="O46" s="27"/>
      <c r="P46" s="11"/>
      <c r="Q46" s="27"/>
      <c r="R46" s="27"/>
      <c r="S46" s="11"/>
      <c r="T46" s="27"/>
      <c r="U46" s="27"/>
      <c r="V46" s="11"/>
      <c r="W46" s="27"/>
      <c r="X46" s="27"/>
      <c r="Y46" s="11"/>
      <c r="Z46" s="27"/>
      <c r="AA46" s="27"/>
      <c r="AB46" s="11"/>
      <c r="AC46" s="27"/>
      <c r="AD46" s="27"/>
      <c r="AE46" s="11"/>
      <c r="AF46" s="27"/>
      <c r="AG46" s="27"/>
      <c r="AH46" s="11"/>
      <c r="AI46" s="27"/>
      <c r="AJ46" s="27"/>
      <c r="AK46" s="11"/>
      <c r="AL46" s="27">
        <v>24800000</v>
      </c>
      <c r="AM46" s="27">
        <v>280</v>
      </c>
      <c r="AN46" s="11">
        <v>68670</v>
      </c>
    </row>
    <row r="47" spans="1:40" x14ac:dyDescent="0.45">
      <c r="A47" s="7">
        <v>22698000</v>
      </c>
      <c r="B47" s="27"/>
      <c r="C47" s="27"/>
      <c r="D47" s="11"/>
      <c r="E47" s="27"/>
      <c r="F47" s="27"/>
      <c r="G47" s="11"/>
      <c r="H47" s="27"/>
      <c r="I47" s="27"/>
      <c r="J47" s="11"/>
      <c r="K47" s="27"/>
      <c r="L47" s="27"/>
      <c r="M47" s="11"/>
      <c r="N47" s="27"/>
      <c r="O47" s="27"/>
      <c r="P47" s="11"/>
      <c r="Q47" s="27"/>
      <c r="R47" s="27"/>
      <c r="S47" s="11"/>
      <c r="T47" s="27">
        <v>28000000</v>
      </c>
      <c r="U47" s="27">
        <v>582</v>
      </c>
      <c r="V47" s="11">
        <v>39000</v>
      </c>
      <c r="W47" s="27"/>
      <c r="X47" s="27"/>
      <c r="Y47" s="11"/>
      <c r="Z47" s="27"/>
      <c r="AA47" s="27"/>
      <c r="AB47" s="11"/>
      <c r="AC47" s="27"/>
      <c r="AD47" s="27"/>
      <c r="AE47" s="11"/>
      <c r="AF47" s="27"/>
      <c r="AG47" s="27"/>
      <c r="AH47" s="11"/>
      <c r="AI47" s="27"/>
      <c r="AJ47" s="27"/>
      <c r="AK47" s="11"/>
      <c r="AL47" s="27">
        <v>28000000</v>
      </c>
      <c r="AM47" s="27">
        <v>582</v>
      </c>
      <c r="AN47" s="11">
        <v>39000</v>
      </c>
    </row>
    <row r="48" spans="1:40" x14ac:dyDescent="0.45">
      <c r="A48" s="28">
        <v>118</v>
      </c>
      <c r="B48" s="27"/>
      <c r="C48" s="27"/>
      <c r="D48" s="11"/>
      <c r="E48" s="27"/>
      <c r="F48" s="27"/>
      <c r="G48" s="11"/>
      <c r="H48" s="27"/>
      <c r="I48" s="27"/>
      <c r="J48" s="11"/>
      <c r="K48" s="27"/>
      <c r="L48" s="27"/>
      <c r="M48" s="11"/>
      <c r="N48" s="27"/>
      <c r="O48" s="27"/>
      <c r="P48" s="11"/>
      <c r="Q48" s="27"/>
      <c r="R48" s="27"/>
      <c r="S48" s="11"/>
      <c r="T48" s="27">
        <v>28000000</v>
      </c>
      <c r="U48" s="27">
        <v>582</v>
      </c>
      <c r="V48" s="11">
        <v>39000</v>
      </c>
      <c r="W48" s="27"/>
      <c r="X48" s="27"/>
      <c r="Y48" s="11"/>
      <c r="Z48" s="27"/>
      <c r="AA48" s="27"/>
      <c r="AB48" s="11"/>
      <c r="AC48" s="27"/>
      <c r="AD48" s="27"/>
      <c r="AE48" s="11"/>
      <c r="AF48" s="27"/>
      <c r="AG48" s="27"/>
      <c r="AH48" s="11"/>
      <c r="AI48" s="27"/>
      <c r="AJ48" s="27"/>
      <c r="AK48" s="11"/>
      <c r="AL48" s="27">
        <v>28000000</v>
      </c>
      <c r="AM48" s="27">
        <v>582</v>
      </c>
      <c r="AN48" s="11">
        <v>39000</v>
      </c>
    </row>
    <row r="49" spans="1:40" x14ac:dyDescent="0.45">
      <c r="A49" s="29">
        <v>4720000</v>
      </c>
      <c r="B49" s="27"/>
      <c r="C49" s="27"/>
      <c r="D49" s="11"/>
      <c r="E49" s="27"/>
      <c r="F49" s="27"/>
      <c r="G49" s="11"/>
      <c r="H49" s="27"/>
      <c r="I49" s="27"/>
      <c r="J49" s="11"/>
      <c r="K49" s="27"/>
      <c r="L49" s="27"/>
      <c r="M49" s="11"/>
      <c r="N49" s="27"/>
      <c r="O49" s="27"/>
      <c r="P49" s="11"/>
      <c r="Q49" s="27"/>
      <c r="R49" s="27"/>
      <c r="S49" s="11"/>
      <c r="T49" s="27">
        <v>28000000</v>
      </c>
      <c r="U49" s="27">
        <v>582</v>
      </c>
      <c r="V49" s="11">
        <v>39000</v>
      </c>
      <c r="W49" s="27"/>
      <c r="X49" s="27"/>
      <c r="Y49" s="11"/>
      <c r="Z49" s="27"/>
      <c r="AA49" s="27"/>
      <c r="AB49" s="11"/>
      <c r="AC49" s="27"/>
      <c r="AD49" s="27"/>
      <c r="AE49" s="11"/>
      <c r="AF49" s="27"/>
      <c r="AG49" s="27"/>
      <c r="AH49" s="11"/>
      <c r="AI49" s="27"/>
      <c r="AJ49" s="27"/>
      <c r="AK49" s="11"/>
      <c r="AL49" s="27">
        <v>28000000</v>
      </c>
      <c r="AM49" s="27">
        <v>582</v>
      </c>
      <c r="AN49" s="11">
        <v>39000</v>
      </c>
    </row>
    <row r="50" spans="1:40" x14ac:dyDescent="0.45">
      <c r="A50" s="7">
        <v>23136000</v>
      </c>
      <c r="B50" s="27"/>
      <c r="C50" s="27"/>
      <c r="D50" s="11"/>
      <c r="E50" s="27"/>
      <c r="F50" s="27"/>
      <c r="G50" s="11"/>
      <c r="H50" s="27"/>
      <c r="I50" s="27"/>
      <c r="J50" s="11"/>
      <c r="K50" s="27"/>
      <c r="L50" s="27"/>
      <c r="M50" s="11"/>
      <c r="N50" s="27"/>
      <c r="O50" s="27"/>
      <c r="P50" s="11"/>
      <c r="Q50" s="27">
        <v>30600000</v>
      </c>
      <c r="R50" s="27">
        <v>482</v>
      </c>
      <c r="S50" s="11">
        <v>48000</v>
      </c>
      <c r="T50" s="27"/>
      <c r="U50" s="27"/>
      <c r="V50" s="11"/>
      <c r="W50" s="27"/>
      <c r="X50" s="27"/>
      <c r="Y50" s="11"/>
      <c r="Z50" s="27"/>
      <c r="AA50" s="27"/>
      <c r="AB50" s="11"/>
      <c r="AC50" s="27"/>
      <c r="AD50" s="27"/>
      <c r="AE50" s="11"/>
      <c r="AF50" s="27"/>
      <c r="AG50" s="27"/>
      <c r="AH50" s="11"/>
      <c r="AI50" s="27"/>
      <c r="AJ50" s="27"/>
      <c r="AK50" s="11"/>
      <c r="AL50" s="27">
        <v>30600000</v>
      </c>
      <c r="AM50" s="27">
        <v>482</v>
      </c>
      <c r="AN50" s="11">
        <v>48000</v>
      </c>
    </row>
    <row r="51" spans="1:40" x14ac:dyDescent="0.45">
      <c r="A51" s="28">
        <v>118</v>
      </c>
      <c r="B51" s="27"/>
      <c r="C51" s="27"/>
      <c r="D51" s="11"/>
      <c r="E51" s="27"/>
      <c r="F51" s="27"/>
      <c r="G51" s="11"/>
      <c r="H51" s="27"/>
      <c r="I51" s="27"/>
      <c r="J51" s="11"/>
      <c r="K51" s="27"/>
      <c r="L51" s="27"/>
      <c r="M51" s="11"/>
      <c r="N51" s="27"/>
      <c r="O51" s="27"/>
      <c r="P51" s="11"/>
      <c r="Q51" s="27">
        <v>30600000</v>
      </c>
      <c r="R51" s="27">
        <v>482</v>
      </c>
      <c r="S51" s="11">
        <v>48000</v>
      </c>
      <c r="T51" s="27"/>
      <c r="U51" s="27"/>
      <c r="V51" s="11"/>
      <c r="W51" s="27"/>
      <c r="X51" s="27"/>
      <c r="Y51" s="11"/>
      <c r="Z51" s="27"/>
      <c r="AA51" s="27"/>
      <c r="AB51" s="11"/>
      <c r="AC51" s="27"/>
      <c r="AD51" s="27"/>
      <c r="AE51" s="11"/>
      <c r="AF51" s="27"/>
      <c r="AG51" s="27"/>
      <c r="AH51" s="11"/>
      <c r="AI51" s="27"/>
      <c r="AJ51" s="27"/>
      <c r="AK51" s="11"/>
      <c r="AL51" s="27">
        <v>30600000</v>
      </c>
      <c r="AM51" s="27">
        <v>482</v>
      </c>
      <c r="AN51" s="11">
        <v>48000</v>
      </c>
    </row>
    <row r="52" spans="1:40" x14ac:dyDescent="0.45">
      <c r="A52" s="29">
        <v>6018000</v>
      </c>
      <c r="B52" s="27"/>
      <c r="C52" s="27"/>
      <c r="D52" s="11"/>
      <c r="E52" s="27"/>
      <c r="F52" s="27"/>
      <c r="G52" s="11"/>
      <c r="H52" s="27"/>
      <c r="I52" s="27"/>
      <c r="J52" s="11"/>
      <c r="K52" s="27"/>
      <c r="L52" s="27"/>
      <c r="M52" s="11"/>
      <c r="N52" s="27"/>
      <c r="O52" s="27"/>
      <c r="P52" s="11"/>
      <c r="Q52" s="27">
        <v>30600000</v>
      </c>
      <c r="R52" s="27">
        <v>482</v>
      </c>
      <c r="S52" s="11">
        <v>48000</v>
      </c>
      <c r="T52" s="27"/>
      <c r="U52" s="27"/>
      <c r="V52" s="11"/>
      <c r="W52" s="27"/>
      <c r="X52" s="27"/>
      <c r="Y52" s="11"/>
      <c r="Z52" s="27"/>
      <c r="AA52" s="27"/>
      <c r="AB52" s="11"/>
      <c r="AC52" s="27"/>
      <c r="AD52" s="27"/>
      <c r="AE52" s="11"/>
      <c r="AF52" s="27"/>
      <c r="AG52" s="27"/>
      <c r="AH52" s="11"/>
      <c r="AI52" s="27"/>
      <c r="AJ52" s="27"/>
      <c r="AK52" s="11"/>
      <c r="AL52" s="27">
        <v>30600000</v>
      </c>
      <c r="AM52" s="27">
        <v>482</v>
      </c>
      <c r="AN52" s="11">
        <v>48000</v>
      </c>
    </row>
    <row r="53" spans="1:40" x14ac:dyDescent="0.45">
      <c r="A53" s="7">
        <v>210000000</v>
      </c>
      <c r="B53" s="27"/>
      <c r="C53" s="27"/>
      <c r="D53" s="11"/>
      <c r="E53" s="27"/>
      <c r="F53" s="27"/>
      <c r="G53" s="11"/>
      <c r="H53" s="27"/>
      <c r="I53" s="27"/>
      <c r="J53" s="11"/>
      <c r="K53" s="27"/>
      <c r="L53" s="27"/>
      <c r="M53" s="11"/>
      <c r="N53" s="27"/>
      <c r="O53" s="27"/>
      <c r="P53" s="11"/>
      <c r="Q53" s="27"/>
      <c r="R53" s="27"/>
      <c r="S53" s="11"/>
      <c r="T53" s="27"/>
      <c r="U53" s="27"/>
      <c r="V53" s="11"/>
      <c r="W53" s="27"/>
      <c r="X53" s="27"/>
      <c r="Y53" s="11"/>
      <c r="Z53" s="27"/>
      <c r="AA53" s="27"/>
      <c r="AB53" s="11"/>
      <c r="AC53" s="27"/>
      <c r="AD53" s="27"/>
      <c r="AE53" s="11"/>
      <c r="AF53" s="27"/>
      <c r="AG53" s="27"/>
      <c r="AH53" s="11"/>
      <c r="AI53" s="27">
        <v>600000000</v>
      </c>
      <c r="AJ53" s="27">
        <v>300</v>
      </c>
      <c r="AK53" s="11">
        <v>700000</v>
      </c>
      <c r="AL53" s="27">
        <v>600000000</v>
      </c>
      <c r="AM53" s="27">
        <v>300</v>
      </c>
      <c r="AN53" s="11">
        <v>700000</v>
      </c>
    </row>
    <row r="54" spans="1:40" x14ac:dyDescent="0.45">
      <c r="A54" s="28">
        <v>450</v>
      </c>
      <c r="B54" s="27"/>
      <c r="C54" s="27"/>
      <c r="D54" s="11"/>
      <c r="E54" s="27"/>
      <c r="F54" s="27"/>
      <c r="G54" s="11"/>
      <c r="H54" s="27"/>
      <c r="I54" s="27"/>
      <c r="J54" s="11"/>
      <c r="K54" s="27"/>
      <c r="L54" s="27"/>
      <c r="M54" s="11"/>
      <c r="N54" s="27"/>
      <c r="O54" s="27"/>
      <c r="P54" s="11"/>
      <c r="Q54" s="27"/>
      <c r="R54" s="27"/>
      <c r="S54" s="11"/>
      <c r="T54" s="27"/>
      <c r="U54" s="27"/>
      <c r="V54" s="11"/>
      <c r="W54" s="27"/>
      <c r="X54" s="27"/>
      <c r="Y54" s="11"/>
      <c r="Z54" s="27"/>
      <c r="AA54" s="27"/>
      <c r="AB54" s="11"/>
      <c r="AC54" s="27"/>
      <c r="AD54" s="27"/>
      <c r="AE54" s="11"/>
      <c r="AF54" s="27"/>
      <c r="AG54" s="27"/>
      <c r="AH54" s="11"/>
      <c r="AI54" s="27">
        <v>600000000</v>
      </c>
      <c r="AJ54" s="27">
        <v>300</v>
      </c>
      <c r="AK54" s="11">
        <v>700000</v>
      </c>
      <c r="AL54" s="27">
        <v>600000000</v>
      </c>
      <c r="AM54" s="27">
        <v>300</v>
      </c>
      <c r="AN54" s="11">
        <v>700000</v>
      </c>
    </row>
    <row r="55" spans="1:40" x14ac:dyDescent="0.45">
      <c r="A55" s="29">
        <v>360000000</v>
      </c>
      <c r="B55" s="27"/>
      <c r="C55" s="27"/>
      <c r="D55" s="11"/>
      <c r="E55" s="27"/>
      <c r="F55" s="27"/>
      <c r="G55" s="11"/>
      <c r="H55" s="27"/>
      <c r="I55" s="27"/>
      <c r="J55" s="11"/>
      <c r="K55" s="27"/>
      <c r="L55" s="27"/>
      <c r="M55" s="11"/>
      <c r="N55" s="27"/>
      <c r="O55" s="27"/>
      <c r="P55" s="11"/>
      <c r="Q55" s="27"/>
      <c r="R55" s="27"/>
      <c r="S55" s="11"/>
      <c r="T55" s="27"/>
      <c r="U55" s="27"/>
      <c r="V55" s="11"/>
      <c r="W55" s="27"/>
      <c r="X55" s="27"/>
      <c r="Y55" s="11"/>
      <c r="Z55" s="27"/>
      <c r="AA55" s="27"/>
      <c r="AB55" s="11"/>
      <c r="AC55" s="27"/>
      <c r="AD55" s="27"/>
      <c r="AE55" s="11"/>
      <c r="AF55" s="27"/>
      <c r="AG55" s="27"/>
      <c r="AH55" s="11"/>
      <c r="AI55" s="27">
        <v>600000000</v>
      </c>
      <c r="AJ55" s="27">
        <v>300</v>
      </c>
      <c r="AK55" s="11">
        <v>700000</v>
      </c>
      <c r="AL55" s="27">
        <v>600000000</v>
      </c>
      <c r="AM55" s="27">
        <v>300</v>
      </c>
      <c r="AN55" s="11">
        <v>700000</v>
      </c>
    </row>
    <row r="56" spans="1:40" x14ac:dyDescent="0.45">
      <c r="A56" s="7">
        <v>330565777</v>
      </c>
      <c r="B56" s="27"/>
      <c r="C56" s="27"/>
      <c r="D56" s="11"/>
      <c r="E56" s="27"/>
      <c r="F56" s="27"/>
      <c r="G56" s="11"/>
      <c r="H56" s="27"/>
      <c r="I56" s="27"/>
      <c r="J56" s="11"/>
      <c r="K56" s="27"/>
      <c r="L56" s="27"/>
      <c r="M56" s="11"/>
      <c r="N56" s="27"/>
      <c r="O56" s="27"/>
      <c r="P56" s="11"/>
      <c r="Q56" s="27"/>
      <c r="R56" s="27"/>
      <c r="S56" s="11"/>
      <c r="T56" s="27"/>
      <c r="U56" s="27"/>
      <c r="V56" s="11"/>
      <c r="W56" s="27"/>
      <c r="X56" s="27"/>
      <c r="Y56" s="11"/>
      <c r="Z56" s="27"/>
      <c r="AA56" s="27"/>
      <c r="AB56" s="11"/>
      <c r="AC56" s="27"/>
      <c r="AD56" s="27"/>
      <c r="AE56" s="11"/>
      <c r="AF56" s="27"/>
      <c r="AG56" s="27"/>
      <c r="AH56" s="11"/>
      <c r="AI56" s="27">
        <v>50846010</v>
      </c>
      <c r="AJ56" s="27">
        <v>582</v>
      </c>
      <c r="AK56" s="11">
        <v>13000</v>
      </c>
      <c r="AL56" s="27">
        <v>50846010</v>
      </c>
      <c r="AM56" s="27">
        <v>582</v>
      </c>
      <c r="AN56" s="11">
        <v>13000</v>
      </c>
    </row>
    <row r="57" spans="1:40" x14ac:dyDescent="0.45">
      <c r="A57" s="28">
        <v>450</v>
      </c>
      <c r="B57" s="27"/>
      <c r="C57" s="27"/>
      <c r="D57" s="11"/>
      <c r="E57" s="27"/>
      <c r="F57" s="27"/>
      <c r="G57" s="11"/>
      <c r="H57" s="27"/>
      <c r="I57" s="27"/>
      <c r="J57" s="11"/>
      <c r="K57" s="27"/>
      <c r="L57" s="27"/>
      <c r="M57" s="11"/>
      <c r="N57" s="27"/>
      <c r="O57" s="27"/>
      <c r="P57" s="11"/>
      <c r="Q57" s="27"/>
      <c r="R57" s="27"/>
      <c r="S57" s="11"/>
      <c r="T57" s="27"/>
      <c r="U57" s="27"/>
      <c r="V57" s="11"/>
      <c r="W57" s="27"/>
      <c r="X57" s="27"/>
      <c r="Y57" s="11"/>
      <c r="Z57" s="27"/>
      <c r="AA57" s="27"/>
      <c r="AB57" s="11"/>
      <c r="AC57" s="27"/>
      <c r="AD57" s="27"/>
      <c r="AE57" s="11"/>
      <c r="AF57" s="27"/>
      <c r="AG57" s="27"/>
      <c r="AH57" s="11"/>
      <c r="AI57" s="27">
        <v>50846010</v>
      </c>
      <c r="AJ57" s="27">
        <v>582</v>
      </c>
      <c r="AK57" s="11">
        <v>13000</v>
      </c>
      <c r="AL57" s="27">
        <v>50846010</v>
      </c>
      <c r="AM57" s="27">
        <v>582</v>
      </c>
      <c r="AN57" s="11">
        <v>13000</v>
      </c>
    </row>
    <row r="58" spans="1:40" x14ac:dyDescent="0.45">
      <c r="A58" s="29">
        <v>15</v>
      </c>
      <c r="B58" s="27"/>
      <c r="C58" s="27"/>
      <c r="D58" s="11"/>
      <c r="E58" s="27"/>
      <c r="F58" s="27"/>
      <c r="G58" s="11"/>
      <c r="H58" s="27"/>
      <c r="I58" s="27"/>
      <c r="J58" s="11"/>
      <c r="K58" s="27"/>
      <c r="L58" s="27"/>
      <c r="M58" s="11"/>
      <c r="N58" s="27"/>
      <c r="O58" s="27"/>
      <c r="P58" s="11"/>
      <c r="Q58" s="27"/>
      <c r="R58" s="27"/>
      <c r="S58" s="11"/>
      <c r="T58" s="27"/>
      <c r="U58" s="27"/>
      <c r="V58" s="11"/>
      <c r="W58" s="27"/>
      <c r="X58" s="27"/>
      <c r="Y58" s="11"/>
      <c r="Z58" s="27"/>
      <c r="AA58" s="27"/>
      <c r="AB58" s="11"/>
      <c r="AC58" s="27"/>
      <c r="AD58" s="27"/>
      <c r="AE58" s="11"/>
      <c r="AF58" s="27"/>
      <c r="AG58" s="27"/>
      <c r="AH58" s="11"/>
      <c r="AI58" s="27">
        <v>50846010</v>
      </c>
      <c r="AJ58" s="27">
        <v>582</v>
      </c>
      <c r="AK58" s="11">
        <v>13000</v>
      </c>
      <c r="AL58" s="27">
        <v>50846010</v>
      </c>
      <c r="AM58" s="27">
        <v>582</v>
      </c>
      <c r="AN58" s="11">
        <v>13000</v>
      </c>
    </row>
    <row r="59" spans="1:40" x14ac:dyDescent="0.45">
      <c r="A59" s="7" t="s">
        <v>30</v>
      </c>
      <c r="B59" s="27">
        <v>5650000</v>
      </c>
      <c r="C59" s="27">
        <v>50</v>
      </c>
      <c r="D59" s="11">
        <v>60000</v>
      </c>
      <c r="E59" s="27">
        <v>17999500</v>
      </c>
      <c r="F59" s="27">
        <v>300</v>
      </c>
      <c r="G59" s="11">
        <v>40000</v>
      </c>
      <c r="H59" s="27">
        <v>24800000</v>
      </c>
      <c r="I59" s="27">
        <v>280</v>
      </c>
      <c r="J59" s="11">
        <v>68670</v>
      </c>
      <c r="K59" s="27">
        <v>13380000</v>
      </c>
      <c r="L59" s="27">
        <v>30</v>
      </c>
      <c r="M59" s="11">
        <v>71000</v>
      </c>
      <c r="N59" s="27">
        <v>1000000</v>
      </c>
      <c r="O59" s="27">
        <v>5</v>
      </c>
      <c r="P59" s="11">
        <v>16000</v>
      </c>
      <c r="Q59" s="27">
        <v>30600000</v>
      </c>
      <c r="R59" s="27">
        <v>482</v>
      </c>
      <c r="S59" s="11">
        <v>48000</v>
      </c>
      <c r="T59" s="27">
        <v>28000000</v>
      </c>
      <c r="U59" s="27">
        <v>582</v>
      </c>
      <c r="V59" s="11">
        <v>39000</v>
      </c>
      <c r="W59" s="27">
        <v>1800000</v>
      </c>
      <c r="X59" s="27">
        <v>68</v>
      </c>
      <c r="Y59" s="11">
        <v>13000</v>
      </c>
      <c r="Z59" s="27">
        <v>300000</v>
      </c>
      <c r="AA59" s="27">
        <v>10</v>
      </c>
      <c r="AB59" s="11">
        <v>14000</v>
      </c>
      <c r="AC59" s="27">
        <v>7425000</v>
      </c>
      <c r="AD59" s="27">
        <v>320</v>
      </c>
      <c r="AE59" s="11">
        <v>20000</v>
      </c>
      <c r="AF59" s="27">
        <v>12249650</v>
      </c>
      <c r="AG59" s="27">
        <v>276</v>
      </c>
      <c r="AH59" s="11">
        <v>37900</v>
      </c>
      <c r="AI59" s="27">
        <v>670332010</v>
      </c>
      <c r="AJ59" s="27">
        <v>1455</v>
      </c>
      <c r="AK59" s="11">
        <v>808799</v>
      </c>
      <c r="AL59" s="27">
        <v>813536160</v>
      </c>
      <c r="AM59" s="27">
        <v>3858</v>
      </c>
      <c r="AN59" s="11">
        <v>1236369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F117-2E9A-44B1-876B-779F0583E70F}">
  <dimension ref="A1:R28"/>
  <sheetViews>
    <sheetView tabSelected="1" workbookViewId="0">
      <selection activeCell="C25" sqref="C25"/>
    </sheetView>
  </sheetViews>
  <sheetFormatPr defaultRowHeight="14.25" x14ac:dyDescent="0.45"/>
  <cols>
    <col min="1" max="1" width="9.19921875" bestFit="1" customWidth="1"/>
    <col min="2" max="2" width="7.1328125" customWidth="1"/>
    <col min="3" max="3" width="13.3984375" customWidth="1"/>
    <col min="4" max="4" width="10.796875" customWidth="1"/>
    <col min="5" max="6" width="11.33203125" customWidth="1"/>
    <col min="7" max="7" width="11.265625" customWidth="1"/>
    <col min="8" max="8" width="11.796875" customWidth="1"/>
    <col min="9" max="9" width="12.86328125" customWidth="1"/>
    <col min="10" max="10" width="14.3984375" customWidth="1"/>
    <col min="11" max="11" width="13.73046875" customWidth="1"/>
    <col min="12" max="12" width="9.3984375" customWidth="1"/>
    <col min="13" max="13" width="11.6640625" customWidth="1"/>
    <col min="14" max="14" width="13.3984375" customWidth="1"/>
  </cols>
  <sheetData>
    <row r="1" spans="1:18" x14ac:dyDescent="0.45">
      <c r="A1" s="24" t="s">
        <v>28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4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4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23.25" customHeight="1" x14ac:dyDescent="0.75">
      <c r="A5" s="12"/>
      <c r="B5" s="12"/>
      <c r="C5" s="12"/>
      <c r="D5" s="13"/>
      <c r="E5" s="17" t="s">
        <v>2</v>
      </c>
      <c r="F5" s="12"/>
      <c r="G5" s="18"/>
      <c r="H5" s="19" t="s">
        <v>7</v>
      </c>
      <c r="I5" s="14"/>
      <c r="J5" s="20" t="s">
        <v>10</v>
      </c>
      <c r="K5" s="15"/>
      <c r="L5" s="21" t="s">
        <v>25</v>
      </c>
      <c r="M5" s="16"/>
      <c r="N5" s="22" t="s">
        <v>27</v>
      </c>
    </row>
    <row r="6" spans="1:18" ht="14.25" customHeight="1" x14ac:dyDescent="0.75">
      <c r="A6" s="3" t="s">
        <v>3</v>
      </c>
      <c r="B6" s="3" t="s">
        <v>0</v>
      </c>
      <c r="C6" s="3" t="s">
        <v>1</v>
      </c>
      <c r="D6" s="3" t="s">
        <v>5</v>
      </c>
      <c r="E6" s="3" t="s">
        <v>6</v>
      </c>
      <c r="F6" s="3" t="s">
        <v>4</v>
      </c>
      <c r="G6" s="3" t="s">
        <v>8</v>
      </c>
      <c r="H6" s="3" t="s">
        <v>9</v>
      </c>
      <c r="I6" s="3" t="s">
        <v>4</v>
      </c>
      <c r="J6" s="3" t="s">
        <v>5</v>
      </c>
      <c r="K6" s="3" t="s">
        <v>4</v>
      </c>
      <c r="L6" s="2"/>
      <c r="M6" s="2"/>
      <c r="N6" s="1"/>
    </row>
    <row r="7" spans="1:18" ht="14.25" customHeight="1" x14ac:dyDescent="0.45">
      <c r="A7" s="6">
        <v>45658</v>
      </c>
      <c r="B7" s="1">
        <v>1</v>
      </c>
      <c r="C7" s="1" t="s">
        <v>11</v>
      </c>
      <c r="D7" s="1">
        <v>10</v>
      </c>
      <c r="E7" s="4">
        <v>15000</v>
      </c>
      <c r="F7" s="1">
        <f>D7*E7</f>
        <v>150000</v>
      </c>
      <c r="G7" s="1">
        <v>5</v>
      </c>
      <c r="H7" s="4">
        <v>16000</v>
      </c>
      <c r="I7" s="1">
        <f>G7*H7</f>
        <v>80000</v>
      </c>
      <c r="J7" s="1">
        <f>D7-G7</f>
        <v>5</v>
      </c>
      <c r="K7" s="1">
        <f>J7*E7</f>
        <v>75000</v>
      </c>
      <c r="L7" s="23">
        <f>K7+I7-F7</f>
        <v>5000</v>
      </c>
      <c r="M7" s="23"/>
      <c r="N7" s="8" t="str">
        <f>IF(K6&gt;28000,"PROFIT",IF(K7&lt;14000,"loss"))</f>
        <v>PROFIT</v>
      </c>
    </row>
    <row r="8" spans="1:18" ht="14.25" customHeight="1" x14ac:dyDescent="0.45">
      <c r="A8" s="6">
        <v>45689</v>
      </c>
      <c r="B8" s="1">
        <v>2</v>
      </c>
      <c r="C8" s="1" t="s">
        <v>12</v>
      </c>
      <c r="D8" s="1">
        <v>5</v>
      </c>
      <c r="E8" s="4">
        <v>16000</v>
      </c>
      <c r="F8" s="1">
        <f t="shared" ref="F8:F21" si="0">D8*E8</f>
        <v>80000</v>
      </c>
      <c r="G8" s="1">
        <v>4</v>
      </c>
      <c r="H8" s="4">
        <v>17000</v>
      </c>
      <c r="I8" s="1">
        <f t="shared" ref="I8:I21" si="1">G8*H8</f>
        <v>68000</v>
      </c>
      <c r="J8" s="1">
        <f t="shared" ref="J8:J21" si="2">D8-G8</f>
        <v>1</v>
      </c>
      <c r="K8" s="1">
        <f>J8*E8</f>
        <v>16000</v>
      </c>
      <c r="L8" s="23">
        <f t="shared" ref="L8:L21" si="3">K8+I8-F8</f>
        <v>4000</v>
      </c>
      <c r="M8" s="23"/>
      <c r="N8" s="8" t="str">
        <f>IF(K7&gt;28000,"PROFIT",IF(K8&lt;14000,"loss"))</f>
        <v>PROFIT</v>
      </c>
    </row>
    <row r="9" spans="1:18" ht="14.25" customHeight="1" x14ac:dyDescent="0.45">
      <c r="A9" s="6">
        <v>45717</v>
      </c>
      <c r="B9" s="1">
        <v>3</v>
      </c>
      <c r="C9" s="1" t="s">
        <v>13</v>
      </c>
      <c r="D9" s="1">
        <v>5</v>
      </c>
      <c r="E9" s="4">
        <v>17000</v>
      </c>
      <c r="F9" s="1">
        <f t="shared" si="0"/>
        <v>85000</v>
      </c>
      <c r="G9" s="1">
        <v>4</v>
      </c>
      <c r="H9" s="4">
        <v>18000</v>
      </c>
      <c r="I9" s="1">
        <f t="shared" si="1"/>
        <v>72000</v>
      </c>
      <c r="J9" s="1">
        <f t="shared" si="2"/>
        <v>1</v>
      </c>
      <c r="K9" s="1">
        <f t="shared" ref="K9:K21" si="4">J9*E9</f>
        <v>17000</v>
      </c>
      <c r="L9" s="23">
        <f t="shared" si="3"/>
        <v>4000</v>
      </c>
      <c r="M9" s="23"/>
      <c r="N9" s="8" t="str">
        <f>IF(I9&gt;K9,"PROFIT",IF(K9&lt;I9,"LOSS"))</f>
        <v>PROFIT</v>
      </c>
    </row>
    <row r="10" spans="1:18" ht="14.25" customHeight="1" x14ac:dyDescent="0.45">
      <c r="A10" s="6">
        <v>45748</v>
      </c>
      <c r="B10" s="1">
        <v>4</v>
      </c>
      <c r="C10" s="1" t="s">
        <v>14</v>
      </c>
      <c r="D10" s="1">
        <v>3</v>
      </c>
      <c r="E10" s="4">
        <v>18000</v>
      </c>
      <c r="F10" s="1">
        <f t="shared" si="0"/>
        <v>54000</v>
      </c>
      <c r="G10" s="1">
        <v>2</v>
      </c>
      <c r="H10" s="4">
        <v>19000</v>
      </c>
      <c r="I10" s="1">
        <f t="shared" si="1"/>
        <v>38000</v>
      </c>
      <c r="J10" s="1">
        <f t="shared" si="2"/>
        <v>1</v>
      </c>
      <c r="K10" s="1">
        <f t="shared" si="4"/>
        <v>18000</v>
      </c>
      <c r="L10" s="23">
        <f>K10+I10-F10</f>
        <v>2000</v>
      </c>
      <c r="M10" s="23"/>
      <c r="N10" s="8" t="str">
        <f>IF(I10&gt;K10,"PROFIT",IF(K10&lt;I10,"LOSS",))</f>
        <v>PROFIT</v>
      </c>
    </row>
    <row r="11" spans="1:18" ht="14.25" customHeight="1" x14ac:dyDescent="0.45">
      <c r="A11" s="6">
        <v>45778</v>
      </c>
      <c r="B11" s="1">
        <v>5</v>
      </c>
      <c r="C11" s="1" t="s">
        <v>15</v>
      </c>
      <c r="D11" s="1">
        <v>5</v>
      </c>
      <c r="E11" s="4">
        <v>19000</v>
      </c>
      <c r="F11" s="1">
        <f t="shared" si="0"/>
        <v>95000</v>
      </c>
      <c r="G11" s="1">
        <v>4</v>
      </c>
      <c r="H11" s="4">
        <v>20000</v>
      </c>
      <c r="I11" s="1">
        <v>800000</v>
      </c>
      <c r="J11" s="1">
        <f t="shared" si="2"/>
        <v>1</v>
      </c>
      <c r="K11" s="1">
        <f t="shared" si="4"/>
        <v>19000</v>
      </c>
      <c r="L11" s="23">
        <f t="shared" si="3"/>
        <v>724000</v>
      </c>
      <c r="M11" s="23"/>
      <c r="N11" s="8" t="str">
        <f>IF(K11&gt;L11,"LOSS",IF(L11&lt;800000,"PROFIT",))</f>
        <v>PROFIT</v>
      </c>
    </row>
    <row r="12" spans="1:18" ht="14.25" customHeight="1" x14ac:dyDescent="0.45">
      <c r="A12" s="6">
        <v>45809</v>
      </c>
      <c r="B12" s="1">
        <v>6</v>
      </c>
      <c r="C12" s="1" t="s">
        <v>16</v>
      </c>
      <c r="D12" s="1">
        <v>6</v>
      </c>
      <c r="E12" s="4">
        <v>20000</v>
      </c>
      <c r="F12" s="1">
        <f t="shared" si="0"/>
        <v>120000</v>
      </c>
      <c r="G12" s="1">
        <v>3</v>
      </c>
      <c r="H12" s="4">
        <v>18000</v>
      </c>
      <c r="I12" s="1">
        <f t="shared" si="1"/>
        <v>54000</v>
      </c>
      <c r="J12" s="1">
        <f t="shared" si="2"/>
        <v>3</v>
      </c>
      <c r="K12" s="1">
        <f t="shared" si="4"/>
        <v>60000</v>
      </c>
      <c r="L12" s="23">
        <f t="shared" si="3"/>
        <v>-6000</v>
      </c>
      <c r="M12" s="23"/>
      <c r="N12" s="9" t="str">
        <f>IF(I12&lt;F12,"LOSS",IF(I12&gt;F12,"PROFIT",))</f>
        <v>LOSS</v>
      </c>
    </row>
    <row r="13" spans="1:18" ht="14.25" customHeight="1" x14ac:dyDescent="0.45">
      <c r="A13" s="6">
        <v>45839</v>
      </c>
      <c r="B13" s="1">
        <v>7</v>
      </c>
      <c r="C13" s="1" t="s">
        <v>17</v>
      </c>
      <c r="D13" s="1">
        <v>7</v>
      </c>
      <c r="E13" s="4">
        <v>21000</v>
      </c>
      <c r="F13" s="1">
        <f t="shared" si="0"/>
        <v>147000</v>
      </c>
      <c r="G13" s="1">
        <v>4</v>
      </c>
      <c r="H13" s="4">
        <v>17000</v>
      </c>
      <c r="I13" s="1">
        <f t="shared" si="1"/>
        <v>68000</v>
      </c>
      <c r="J13" s="1">
        <f t="shared" si="2"/>
        <v>3</v>
      </c>
      <c r="K13" s="1">
        <f t="shared" si="4"/>
        <v>63000</v>
      </c>
      <c r="L13" s="23">
        <f t="shared" si="3"/>
        <v>-16000</v>
      </c>
      <c r="M13" s="23"/>
      <c r="N13" s="9" t="str">
        <f>IF(F13&gt;I13,"LOSS",IF(F13&lt;I13,"PROFIT",))</f>
        <v>LOSS</v>
      </c>
    </row>
    <row r="14" spans="1:18" ht="14.25" customHeight="1" x14ac:dyDescent="0.45">
      <c r="A14" s="6">
        <v>45870</v>
      </c>
      <c r="B14" s="1">
        <v>8</v>
      </c>
      <c r="C14" s="1" t="s">
        <v>18</v>
      </c>
      <c r="D14" s="1">
        <v>4</v>
      </c>
      <c r="E14" s="4">
        <v>22000</v>
      </c>
      <c r="F14" s="1">
        <f t="shared" si="0"/>
        <v>88000</v>
      </c>
      <c r="G14" s="1">
        <v>3</v>
      </c>
      <c r="H14" s="4">
        <v>24000</v>
      </c>
      <c r="I14" s="1">
        <f t="shared" si="1"/>
        <v>72000</v>
      </c>
      <c r="J14" s="1">
        <f t="shared" si="2"/>
        <v>1</v>
      </c>
      <c r="K14" s="1">
        <f t="shared" si="4"/>
        <v>22000</v>
      </c>
      <c r="L14" s="23">
        <f t="shared" si="3"/>
        <v>6000</v>
      </c>
      <c r="M14" s="23"/>
      <c r="N14" s="8" t="str">
        <f>IF(I14&lt;F14,"PROFIT",IF(I14&gt;F14,"LOSS",))</f>
        <v>PROFIT</v>
      </c>
    </row>
    <row r="15" spans="1:18" ht="14.25" customHeight="1" x14ac:dyDescent="0.45">
      <c r="A15" s="6">
        <v>45901</v>
      </c>
      <c r="B15" s="1">
        <v>9</v>
      </c>
      <c r="C15" s="1" t="s">
        <v>19</v>
      </c>
      <c r="D15" s="1">
        <v>8</v>
      </c>
      <c r="E15" s="4">
        <v>23000</v>
      </c>
      <c r="F15" s="1">
        <f t="shared" si="0"/>
        <v>184000</v>
      </c>
      <c r="G15" s="1">
        <v>4</v>
      </c>
      <c r="H15" s="4">
        <v>18000</v>
      </c>
      <c r="I15" s="1">
        <f t="shared" si="1"/>
        <v>72000</v>
      </c>
      <c r="J15" s="1">
        <f t="shared" si="2"/>
        <v>4</v>
      </c>
      <c r="K15" s="1">
        <f t="shared" si="4"/>
        <v>92000</v>
      </c>
      <c r="L15" s="23">
        <f t="shared" si="3"/>
        <v>-20000</v>
      </c>
      <c r="M15" s="23"/>
      <c r="N15" s="9" t="str">
        <f>IF(I15&lt;F15,"LOSS",IF(I15&gt;F15,"PROFIT",))</f>
        <v>LOSS</v>
      </c>
    </row>
    <row r="16" spans="1:18" ht="14.25" customHeight="1" x14ac:dyDescent="0.45">
      <c r="A16" s="6">
        <v>45931</v>
      </c>
      <c r="B16" s="1">
        <v>10</v>
      </c>
      <c r="C16" s="1" t="s">
        <v>20</v>
      </c>
      <c r="D16" s="1">
        <v>11</v>
      </c>
      <c r="E16" s="4">
        <v>24000</v>
      </c>
      <c r="F16" s="1">
        <f t="shared" si="0"/>
        <v>264000</v>
      </c>
      <c r="G16" s="1">
        <v>10</v>
      </c>
      <c r="H16" s="4">
        <v>26000</v>
      </c>
      <c r="I16" s="1">
        <f t="shared" si="1"/>
        <v>260000</v>
      </c>
      <c r="J16" s="1">
        <f t="shared" si="2"/>
        <v>1</v>
      </c>
      <c r="K16" s="1">
        <f t="shared" si="4"/>
        <v>24000</v>
      </c>
      <c r="L16" s="23">
        <f t="shared" si="3"/>
        <v>20000</v>
      </c>
      <c r="M16" s="23"/>
      <c r="N16" s="8" t="str">
        <f>IF(I16&gt;K16,"PROFIT",IF(K16&lt;I16,"LOSS"))</f>
        <v>PROFIT</v>
      </c>
    </row>
    <row r="17" spans="1:14" ht="14.25" customHeight="1" x14ac:dyDescent="0.45">
      <c r="A17" s="6">
        <v>45962</v>
      </c>
      <c r="B17" s="1">
        <v>11</v>
      </c>
      <c r="C17" s="1" t="s">
        <v>21</v>
      </c>
      <c r="D17" s="1">
        <v>9</v>
      </c>
      <c r="E17" s="4">
        <v>25000</v>
      </c>
      <c r="F17" s="1">
        <f t="shared" si="0"/>
        <v>225000</v>
      </c>
      <c r="G17" s="1">
        <v>8</v>
      </c>
      <c r="H17" s="4">
        <v>27000</v>
      </c>
      <c r="I17" s="1">
        <f t="shared" si="1"/>
        <v>216000</v>
      </c>
      <c r="J17" s="1">
        <f t="shared" si="2"/>
        <v>1</v>
      </c>
      <c r="K17" s="1">
        <f t="shared" si="4"/>
        <v>25000</v>
      </c>
      <c r="L17" s="23">
        <f t="shared" si="3"/>
        <v>16000</v>
      </c>
      <c r="M17" s="23"/>
      <c r="N17" s="8" t="str">
        <f>IF(I17&gt;K17,"PROFIT",IF(K17&lt;I17,"LOSS"))</f>
        <v>PROFIT</v>
      </c>
    </row>
    <row r="18" spans="1:14" ht="14.25" customHeight="1" x14ac:dyDescent="0.45">
      <c r="A18" s="6">
        <v>45992</v>
      </c>
      <c r="B18" s="1">
        <v>12</v>
      </c>
      <c r="C18" s="1" t="s">
        <v>26</v>
      </c>
      <c r="D18" s="1">
        <v>12</v>
      </c>
      <c r="E18" s="4">
        <v>30000</v>
      </c>
      <c r="F18" s="1">
        <f t="shared" si="0"/>
        <v>360000</v>
      </c>
      <c r="G18" s="1">
        <v>8</v>
      </c>
      <c r="H18" s="4">
        <v>17000</v>
      </c>
      <c r="I18" s="1">
        <f t="shared" si="1"/>
        <v>136000</v>
      </c>
      <c r="J18" s="1">
        <f t="shared" si="2"/>
        <v>4</v>
      </c>
      <c r="K18" s="1">
        <f t="shared" si="4"/>
        <v>120000</v>
      </c>
      <c r="L18" s="23">
        <f t="shared" si="3"/>
        <v>-104000</v>
      </c>
      <c r="M18" s="23"/>
      <c r="N18" s="9" t="str">
        <f>IF(I18&lt;F18,"LOSS",IF(I18&gt;F18,"PROFIT",))</f>
        <v>LOSS</v>
      </c>
    </row>
    <row r="19" spans="1:14" ht="14.25" customHeight="1" x14ac:dyDescent="0.45">
      <c r="A19" s="6">
        <v>45993</v>
      </c>
      <c r="B19" s="1">
        <v>13</v>
      </c>
      <c r="C19" s="1" t="s">
        <v>22</v>
      </c>
      <c r="D19" s="1">
        <v>8</v>
      </c>
      <c r="E19" s="4">
        <v>31000</v>
      </c>
      <c r="F19" s="1">
        <f t="shared" si="0"/>
        <v>248000</v>
      </c>
      <c r="G19" s="1">
        <v>6</v>
      </c>
      <c r="H19" s="4">
        <v>32000</v>
      </c>
      <c r="I19" s="1">
        <f t="shared" si="1"/>
        <v>192000</v>
      </c>
      <c r="J19" s="1">
        <f t="shared" si="2"/>
        <v>2</v>
      </c>
      <c r="K19" s="1">
        <f t="shared" si="4"/>
        <v>62000</v>
      </c>
      <c r="L19" s="23">
        <f t="shared" si="3"/>
        <v>6000</v>
      </c>
      <c r="M19" s="23"/>
      <c r="N19" s="8" t="str">
        <f>IF(K19&gt;28000,"PROFIT",IF(K20&lt;I22,"loss"))</f>
        <v>PROFIT</v>
      </c>
    </row>
    <row r="20" spans="1:14" ht="14.25" customHeight="1" x14ac:dyDescent="0.45">
      <c r="A20" s="6">
        <v>45994</v>
      </c>
      <c r="B20" s="1">
        <v>14</v>
      </c>
      <c r="C20" s="1" t="s">
        <v>23</v>
      </c>
      <c r="D20" s="1">
        <v>5</v>
      </c>
      <c r="E20" s="4">
        <v>10000</v>
      </c>
      <c r="F20" s="1">
        <f t="shared" si="0"/>
        <v>50000</v>
      </c>
      <c r="G20" s="1">
        <v>4</v>
      </c>
      <c r="H20" s="4">
        <v>13000</v>
      </c>
      <c r="I20" s="1">
        <f t="shared" si="1"/>
        <v>52000</v>
      </c>
      <c r="J20" s="1">
        <f t="shared" si="2"/>
        <v>1</v>
      </c>
      <c r="K20" s="1">
        <f t="shared" si="4"/>
        <v>10000</v>
      </c>
      <c r="L20" s="23">
        <f t="shared" si="3"/>
        <v>12000</v>
      </c>
      <c r="M20" s="23"/>
      <c r="N20" s="8" t="str">
        <f>IF(I20&gt;K20,"PROFIT",IF(I20&lt;K20,"LOSS"))</f>
        <v>PROFIT</v>
      </c>
    </row>
    <row r="21" spans="1:14" ht="14.25" customHeight="1" x14ac:dyDescent="0.45">
      <c r="A21" s="6">
        <v>45995</v>
      </c>
      <c r="B21" s="1">
        <v>15</v>
      </c>
      <c r="C21" s="1" t="s">
        <v>24</v>
      </c>
      <c r="D21" s="1">
        <v>3</v>
      </c>
      <c r="E21" s="4">
        <v>11000</v>
      </c>
      <c r="F21" s="1">
        <f t="shared" si="0"/>
        <v>33000</v>
      </c>
      <c r="G21" s="1">
        <v>2</v>
      </c>
      <c r="H21" s="4">
        <v>15000</v>
      </c>
      <c r="I21" s="1">
        <f t="shared" si="1"/>
        <v>30000</v>
      </c>
      <c r="J21" s="1">
        <f t="shared" si="2"/>
        <v>1</v>
      </c>
      <c r="K21" s="1">
        <f t="shared" si="4"/>
        <v>11000</v>
      </c>
      <c r="L21" s="23">
        <f t="shared" si="3"/>
        <v>8000</v>
      </c>
      <c r="M21" s="23"/>
      <c r="N21" s="8" t="str">
        <f>IF(K21&gt;2800,"PROFIT",IF(I2,"loss"))</f>
        <v>PROFIT</v>
      </c>
    </row>
    <row r="22" spans="1:14" ht="14.25" customHeight="1" x14ac:dyDescent="0.45">
      <c r="A22" s="5">
        <v>45992</v>
      </c>
      <c r="B22" s="1">
        <v>16</v>
      </c>
      <c r="C22" s="1" t="str">
        <f>VLOOKUP(C7,C6:C21,1,FALSE)</f>
        <v>Samsung galaxy</v>
      </c>
      <c r="D22" s="1">
        <f>MIN(D7:D21)</f>
        <v>3</v>
      </c>
      <c r="E22" s="1">
        <f>COUNT(E7:E21)</f>
        <v>15</v>
      </c>
      <c r="F22" s="1">
        <f>AVERAGE(F7:F21)</f>
        <v>145533.33333333334</v>
      </c>
      <c r="G22" s="1">
        <f>MAX(G7:G21)</f>
        <v>10</v>
      </c>
      <c r="H22" s="4">
        <f>MIN(H7:H21)</f>
        <v>13000</v>
      </c>
      <c r="I22" s="1">
        <f>SUMIF(I7:I21,"&gt;50000")</f>
        <v>2142000</v>
      </c>
      <c r="J22" s="1">
        <f>MAX(J7:J21)</f>
        <v>5</v>
      </c>
      <c r="K22" s="1">
        <f>COUNT(K7:K21)</f>
        <v>15</v>
      </c>
      <c r="L22" s="23">
        <f>COUNTIF(L7:M21,"&gt;0")</f>
        <v>11</v>
      </c>
      <c r="M22" s="23"/>
      <c r="N22" s="1">
        <f>COUNTIF(N7:N21,"profit")</f>
        <v>11</v>
      </c>
    </row>
    <row r="23" spans="1:14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3">
        <f>COUNTIF(L7:M21,"&lt;0")</f>
        <v>4</v>
      </c>
      <c r="M23" s="23"/>
      <c r="N23" s="1">
        <f>COUNTIF(N12:N18,"loss")</f>
        <v>4</v>
      </c>
    </row>
    <row r="24" spans="1:14" x14ac:dyDescent="0.45">
      <c r="A24" s="1"/>
      <c r="B24" s="1"/>
      <c r="D24" s="1"/>
      <c r="E24" s="1"/>
      <c r="F24" s="1"/>
      <c r="G24" s="1"/>
      <c r="H24" s="1"/>
      <c r="I24" s="1"/>
      <c r="J24" s="1"/>
      <c r="K24" s="1"/>
      <c r="L24" s="23"/>
      <c r="M24" s="23"/>
    </row>
    <row r="25" spans="1:14" x14ac:dyDescent="0.45">
      <c r="A25" s="1"/>
      <c r="B25" s="1"/>
      <c r="D25" s="1"/>
      <c r="E25" s="1"/>
      <c r="F25" s="7"/>
      <c r="G25" s="1"/>
      <c r="H25" s="1"/>
      <c r="I25" s="1"/>
      <c r="J25" s="1"/>
      <c r="K25" s="1"/>
      <c r="L25" s="23"/>
      <c r="M25" s="23"/>
    </row>
    <row r="26" spans="1:14" x14ac:dyDescent="0.45">
      <c r="L26" s="26"/>
      <c r="M26" s="26"/>
    </row>
    <row r="27" spans="1:14" x14ac:dyDescent="0.45">
      <c r="C27" s="1"/>
    </row>
    <row r="28" spans="1:14" x14ac:dyDescent="0.45">
      <c r="C28" s="1"/>
    </row>
  </sheetData>
  <mergeCells count="21">
    <mergeCell ref="L22:M22"/>
    <mergeCell ref="L23:M23"/>
    <mergeCell ref="L24:M24"/>
    <mergeCell ref="L25:M25"/>
    <mergeCell ref="L26:M26"/>
    <mergeCell ref="L21:M21"/>
    <mergeCell ref="L15:M15"/>
    <mergeCell ref="L16:M16"/>
    <mergeCell ref="L17:M17"/>
    <mergeCell ref="L18:M18"/>
    <mergeCell ref="L19:M19"/>
    <mergeCell ref="L11:M11"/>
    <mergeCell ref="L13:M13"/>
    <mergeCell ref="L14:M14"/>
    <mergeCell ref="A1:R4"/>
    <mergeCell ref="L20:M20"/>
    <mergeCell ref="L12:M12"/>
    <mergeCell ref="L7:M7"/>
    <mergeCell ref="L8:M8"/>
    <mergeCell ref="L9:M9"/>
    <mergeCell ref="L10:M10"/>
  </mergeCells>
  <phoneticPr fontId="4" type="noConversion"/>
  <dataValidations count="2">
    <dataValidation type="date" allowBlank="1" showInputMessage="1" showErrorMessage="1" sqref="A22" xr:uid="{062C58AC-143F-4AD4-9281-43C79AA1D0D9}">
      <formula1>45658</formula1>
      <formula2>45992</formula2>
    </dataValidation>
    <dataValidation type="date" allowBlank="1" showInputMessage="1" showErrorMessage="1" errorTitle="your enter data is invalid " error="your enter data is invalid" sqref="A7:A21" xr:uid="{908A16B3-00F5-4E68-B314-956194030AAA}">
      <formula1>45658</formula1>
      <formula2>45992</formula2>
    </dataValidation>
  </dataValidations>
  <pageMargins left="0.7" right="0.7" top="0.75" bottom="0.75" header="0.3" footer="0.3"/>
  <pageSetup orientation="portrait" r:id="rId1"/>
  <ignoredErrors>
    <ignoredError sqref="N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OCS</dc:creator>
  <cp:lastModifiedBy>OCS</cp:lastModifiedBy>
  <cp:lastPrinted>2026-01-31T15:42:09Z</cp:lastPrinted>
  <dcterms:created xsi:type="dcterms:W3CDTF">2026-01-27T08:45:58Z</dcterms:created>
  <dcterms:modified xsi:type="dcterms:W3CDTF">2026-01-31T19:31:33Z</dcterms:modified>
</cp:coreProperties>
</file>